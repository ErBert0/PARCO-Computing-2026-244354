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_ms" sheetId="1" r:id="rId4"/>
    <sheet state="visible" name="Plots_SpeedUp" sheetId="2" r:id="rId5"/>
    <sheet state="visible" name="Plots_Efficiency" sheetId="3" r:id="rId6"/>
    <sheet state="visible" name="Perf_Analysis" sheetId="4" r:id="rId7"/>
  </sheets>
  <definedNames/>
  <calcPr/>
  <extLst>
    <ext uri="GoogleSheetsCustomDataVersion2">
      <go:sheetsCustomData xmlns:go="http://customooxmlschemas.google.com/" r:id="rId8" roundtripDataChecksum="JR6BpTam6tU05eGIx7KUPFZ8sIFL4AY7s+q9Iw0hnVs="/>
    </ext>
  </extLst>
</workbook>
</file>

<file path=xl/sharedStrings.xml><?xml version="1.0" encoding="utf-8"?>
<sst xmlns="http://schemas.openxmlformats.org/spreadsheetml/2006/main" count="165" uniqueCount="33">
  <si>
    <t>P90_ms</t>
  </si>
  <si>
    <t>SpeedUp</t>
  </si>
  <si>
    <t>Efficiency</t>
  </si>
  <si>
    <t>ASIC - SpeedUp</t>
  </si>
  <si>
    <t>matrix</t>
  </si>
  <si>
    <t>scheduler</t>
  </si>
  <si>
    <t>threads</t>
  </si>
  <si>
    <t>Threads</t>
  </si>
  <si>
    <t>Dynamic</t>
  </si>
  <si>
    <t>Static</t>
  </si>
  <si>
    <t>Guided</t>
  </si>
  <si>
    <t>Ideal SpeedUp</t>
  </si>
  <si>
    <t>ASIC</t>
  </si>
  <si>
    <t>dynamic</t>
  </si>
  <si>
    <t>guided</t>
  </si>
  <si>
    <t>ASIC - Efficiency</t>
  </si>
  <si>
    <t>sequential</t>
  </si>
  <si>
    <t>static</t>
  </si>
  <si>
    <t>kkt - SpeedUp</t>
  </si>
  <si>
    <t>kkt</t>
  </si>
  <si>
    <t>kkt - Efficiency</t>
  </si>
  <si>
    <t>mawi - SpeedUp</t>
  </si>
  <si>
    <t>mawi</t>
  </si>
  <si>
    <t>mawi - Efficiency</t>
  </si>
  <si>
    <t>nlpkk - SpeedUp</t>
  </si>
  <si>
    <t>nlpkk</t>
  </si>
  <si>
    <t>nlpkk - Efficiency</t>
  </si>
  <si>
    <t>ecology2- SpeedUp</t>
  </si>
  <si>
    <t>ecology2</t>
  </si>
  <si>
    <t>ecology2 - Efficiency</t>
  </si>
  <si>
    <t>L1_Miss_Rate (%)</t>
  </si>
  <si>
    <t>LLC_Miss_Rate (%)</t>
  </si>
  <si>
    <t>AVRG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</si>
</sst>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Calibri"/>
    </font>
    <font>
      <b/>
      <sz val="11.0"/>
      <color theme="1"/>
      <name val="Calibri"/>
    </font>
    <font/>
    <font>
      <b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horizontal="center" vertical="top"/>
    </xf>
    <xf borderId="0" fillId="0" fontId="6" numFmtId="0" xfId="0" applyAlignment="1" applyFont="1">
      <alignment vertical="bottom"/>
    </xf>
    <xf borderId="5" fillId="0" fontId="5" numFmtId="0" xfId="0" applyAlignment="1" applyBorder="1" applyFont="1">
      <alignment horizontal="center" vertical="top"/>
    </xf>
    <xf borderId="0" fillId="0" fontId="6" numFmtId="0" xfId="0" applyAlignment="1" applyFont="1">
      <alignment horizontal="right" vertical="bottom"/>
    </xf>
    <xf borderId="0" fillId="2" fontId="2" numFmtId="0" xfId="0" applyFill="1" applyFont="1"/>
    <xf borderId="0" fillId="3" fontId="2" numFmtId="0" xfId="0" applyFill="1" applyFont="1"/>
    <xf borderId="6" fillId="0" fontId="4" numFmtId="0" xfId="0" applyBorder="1" applyFont="1"/>
    <xf borderId="7" fillId="0" fontId="4" numFmtId="0" xfId="0" applyBorder="1" applyFont="1"/>
    <xf borderId="0" fillId="0" fontId="5" numFmtId="0" xfId="0" applyAlignment="1" applyFont="1">
      <alignment horizontal="center" vertical="top"/>
    </xf>
    <xf borderId="2" fillId="0" fontId="3" numFmtId="0" xfId="0" applyAlignment="1" applyBorder="1" applyFont="1">
      <alignment horizontal="center" readingOrder="0" vertical="top"/>
    </xf>
    <xf borderId="5" fillId="0" fontId="5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right" readingOrder="0" vertical="bottom"/>
    </xf>
    <xf borderId="0" fillId="0" fontId="2" numFmtId="10" xfId="0" applyFont="1" applyNumberFormat="1"/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ASIC Matrix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Time_ms!$I$4:$I$8</c:f>
            </c:strRef>
          </c:cat>
          <c:val>
            <c:numRef>
              <c:f>Time_ms!$J$4:$J$8</c:f>
              <c:numCache/>
            </c:numRef>
          </c:val>
          <c:smooth val="0"/>
        </c:ser>
        <c:ser>
          <c:idx val="1"/>
          <c:order val="1"/>
          <c:tx>
            <c:strRef>
              <c:f>Time_ms!$K$3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Time_ms!$I$4:$I$8</c:f>
            </c:strRef>
          </c:cat>
          <c:val>
            <c:numRef>
              <c:f>Time_ms!$K$4:$K$8</c:f>
              <c:numCache/>
            </c:numRef>
          </c:val>
          <c:smooth val="0"/>
        </c:ser>
        <c:ser>
          <c:idx val="2"/>
          <c:order val="2"/>
          <c:tx>
            <c:strRef>
              <c:f>Time_ms!$L$3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Time_ms!$I$4:$I$8</c:f>
            </c:strRef>
          </c:cat>
          <c:val>
            <c:numRef>
              <c:f>Time_ms!$L$4:$L$8</c:f>
              <c:numCache/>
            </c:numRef>
          </c:val>
          <c:smooth val="0"/>
        </c:ser>
        <c:axId val="1283953715"/>
        <c:axId val="1098476278"/>
      </c:lineChart>
      <c:catAx>
        <c:axId val="1283953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8476278"/>
      </c:catAx>
      <c:valAx>
        <c:axId val="1098476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SpeedUp (Tx/T1)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395371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kkt Matrix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Time_ms!$J$24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Time_ms!$I$25:$I$29</c:f>
            </c:strRef>
          </c:cat>
          <c:val>
            <c:numRef>
              <c:f>Time_ms!$J$25:$J$29</c:f>
              <c:numCache/>
            </c:numRef>
          </c:val>
          <c:smooth val="0"/>
        </c:ser>
        <c:ser>
          <c:idx val="1"/>
          <c:order val="1"/>
          <c:tx>
            <c:strRef>
              <c:f>Time_ms!$K$24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Time_ms!$I$25:$I$29</c:f>
            </c:strRef>
          </c:cat>
          <c:val>
            <c:numRef>
              <c:f>Time_ms!$K$25:$K$29</c:f>
              <c:numCache/>
            </c:numRef>
          </c:val>
          <c:smooth val="0"/>
        </c:ser>
        <c:ser>
          <c:idx val="2"/>
          <c:order val="2"/>
          <c:tx>
            <c:strRef>
              <c:f>Time_ms!$L$24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Time_ms!$I$25:$I$29</c:f>
            </c:strRef>
          </c:cat>
          <c:val>
            <c:numRef>
              <c:f>Time_ms!$L$25:$L$29</c:f>
              <c:numCache/>
            </c:numRef>
          </c:val>
          <c:smooth val="0"/>
        </c:ser>
        <c:axId val="1633140849"/>
        <c:axId val="545356394"/>
      </c:lineChart>
      <c:catAx>
        <c:axId val="1633140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5356394"/>
      </c:catAx>
      <c:valAx>
        <c:axId val="545356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Speedp (Tx/T1)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63314084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mawi Marix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Time_ms!$J$45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Time_ms!$I$46:$I$50</c:f>
            </c:strRef>
          </c:cat>
          <c:val>
            <c:numRef>
              <c:f>Time_ms!$J$46:$J$50</c:f>
              <c:numCache/>
            </c:numRef>
          </c:val>
          <c:smooth val="0"/>
        </c:ser>
        <c:ser>
          <c:idx val="1"/>
          <c:order val="1"/>
          <c:tx>
            <c:strRef>
              <c:f>Time_ms!$K$45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Time_ms!$I$46:$I$50</c:f>
            </c:strRef>
          </c:cat>
          <c:val>
            <c:numRef>
              <c:f>Time_ms!$K$46:$K$50</c:f>
              <c:numCache/>
            </c:numRef>
          </c:val>
          <c:smooth val="0"/>
        </c:ser>
        <c:ser>
          <c:idx val="2"/>
          <c:order val="2"/>
          <c:tx>
            <c:strRef>
              <c:f>Time_ms!$L$45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Time_ms!$I$46:$I$50</c:f>
            </c:strRef>
          </c:cat>
          <c:val>
            <c:numRef>
              <c:f>Time_ms!$L$46:$L$50</c:f>
              <c:numCache/>
            </c:numRef>
          </c:val>
          <c:smooth val="0"/>
        </c:ser>
        <c:axId val="183536025"/>
        <c:axId val="1092439347"/>
      </c:lineChart>
      <c:catAx>
        <c:axId val="183536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2439347"/>
      </c:catAx>
      <c:valAx>
        <c:axId val="1092439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SpeedUp (Tx/T1)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353602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nlpkk Matrix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Time_ms!$J$66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Time_ms!$I$67:$I$71</c:f>
            </c:strRef>
          </c:cat>
          <c:val>
            <c:numRef>
              <c:f>Time_ms!$J$67:$J$71</c:f>
              <c:numCache/>
            </c:numRef>
          </c:val>
          <c:smooth val="0"/>
        </c:ser>
        <c:ser>
          <c:idx val="1"/>
          <c:order val="1"/>
          <c:tx>
            <c:strRef>
              <c:f>Time_ms!$K$66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Time_ms!$I$67:$I$71</c:f>
            </c:strRef>
          </c:cat>
          <c:val>
            <c:numRef>
              <c:f>Time_ms!$K$67:$K$71</c:f>
              <c:numCache/>
            </c:numRef>
          </c:val>
          <c:smooth val="0"/>
        </c:ser>
        <c:ser>
          <c:idx val="2"/>
          <c:order val="2"/>
          <c:tx>
            <c:strRef>
              <c:f>Time_ms!$L$66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Time_ms!$I$67:$I$71</c:f>
            </c:strRef>
          </c:cat>
          <c:val>
            <c:numRef>
              <c:f>Time_ms!$L$67:$L$71</c:f>
              <c:numCache/>
            </c:numRef>
          </c:val>
          <c:smooth val="0"/>
        </c:ser>
        <c:axId val="1131176488"/>
        <c:axId val="253164563"/>
      </c:lineChart>
      <c:catAx>
        <c:axId val="1131176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53164563"/>
      </c:catAx>
      <c:valAx>
        <c:axId val="2531645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SpeedU (Tx/T1)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117648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ecology2 Matrix speedUp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Time_ms!$J$87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Time_ms!$I$88:$I$92</c:f>
            </c:strRef>
          </c:cat>
          <c:val>
            <c:numRef>
              <c:f>Time_ms!$J$88:$J$92</c:f>
              <c:numCache/>
            </c:numRef>
          </c:val>
          <c:smooth val="0"/>
        </c:ser>
        <c:ser>
          <c:idx val="1"/>
          <c:order val="1"/>
          <c:tx>
            <c:strRef>
              <c:f>Time_ms!$K$87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Time_ms!$I$88:$I$92</c:f>
            </c:strRef>
          </c:cat>
          <c:val>
            <c:numRef>
              <c:f>Time_ms!$K$88:$K$92</c:f>
              <c:numCache/>
            </c:numRef>
          </c:val>
          <c:smooth val="0"/>
        </c:ser>
        <c:ser>
          <c:idx val="2"/>
          <c:order val="2"/>
          <c:tx>
            <c:strRef>
              <c:f>Time_ms!$L$87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Time_ms!$I$88:$I$92</c:f>
            </c:strRef>
          </c:cat>
          <c:val>
            <c:numRef>
              <c:f>Time_ms!$L$88:$L$92</c:f>
              <c:numCache/>
            </c:numRef>
          </c:val>
          <c:smooth val="0"/>
        </c:ser>
        <c:axId val="808659947"/>
        <c:axId val="731766349"/>
      </c:lineChart>
      <c:catAx>
        <c:axId val="808659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1766349"/>
      </c:catAx>
      <c:valAx>
        <c:axId val="731766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SpeedUp (Tx/T1)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0865994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ASIC Matrix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Time_ms!$J$13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Time_ms!$I$14:$I$18</c:f>
            </c:strRef>
          </c:cat>
          <c:val>
            <c:numRef>
              <c:f>Time_ms!$J$14:$J$18</c:f>
              <c:numCache/>
            </c:numRef>
          </c:val>
          <c:smooth val="0"/>
        </c:ser>
        <c:ser>
          <c:idx val="1"/>
          <c:order val="1"/>
          <c:tx>
            <c:strRef>
              <c:f>Time_ms!$K$13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Time_ms!$I$14:$I$18</c:f>
            </c:strRef>
          </c:cat>
          <c:val>
            <c:numRef>
              <c:f>Time_ms!$K$14:$K$18</c:f>
              <c:numCache/>
            </c:numRef>
          </c:val>
          <c:smooth val="0"/>
        </c:ser>
        <c:ser>
          <c:idx val="2"/>
          <c:order val="2"/>
          <c:tx>
            <c:strRef>
              <c:f>Time_ms!$L$13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Time_ms!$I$14:$I$18</c:f>
            </c:strRef>
          </c:cat>
          <c:val>
            <c:numRef>
              <c:f>Time_ms!$L$14:$L$18</c:f>
              <c:numCache/>
            </c:numRef>
          </c:val>
          <c:smooth val="0"/>
        </c:ser>
        <c:axId val="1101784884"/>
        <c:axId val="529663719"/>
      </c:lineChart>
      <c:catAx>
        <c:axId val="1101784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29663719"/>
      </c:catAx>
      <c:valAx>
        <c:axId val="529663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Efficiency (SpeedUp/ Thread)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178488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kkt Matrix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Time_ms!$J$34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Time_ms!$I$35:$I$39</c:f>
            </c:strRef>
          </c:cat>
          <c:val>
            <c:numRef>
              <c:f>Time_ms!$J$35:$J$39</c:f>
              <c:numCache/>
            </c:numRef>
          </c:val>
          <c:smooth val="0"/>
        </c:ser>
        <c:ser>
          <c:idx val="1"/>
          <c:order val="1"/>
          <c:tx>
            <c:strRef>
              <c:f>Time_ms!$K$34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Time_ms!$I$35:$I$39</c:f>
            </c:strRef>
          </c:cat>
          <c:val>
            <c:numRef>
              <c:f>Time_ms!$K$35:$K$39</c:f>
              <c:numCache/>
            </c:numRef>
          </c:val>
          <c:smooth val="0"/>
        </c:ser>
        <c:ser>
          <c:idx val="2"/>
          <c:order val="2"/>
          <c:tx>
            <c:strRef>
              <c:f>Time_ms!$L$34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Time_ms!$I$35:$I$39</c:f>
            </c:strRef>
          </c:cat>
          <c:val>
            <c:numRef>
              <c:f>Time_ms!$L$35:$L$39</c:f>
              <c:numCache/>
            </c:numRef>
          </c:val>
          <c:smooth val="0"/>
        </c:ser>
        <c:axId val="1411369101"/>
        <c:axId val="1781074509"/>
      </c:lineChart>
      <c:catAx>
        <c:axId val="1411369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1074509"/>
      </c:catAx>
      <c:valAx>
        <c:axId val="1781074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Efficiency (SpeedUp/ Thread)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1136910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mawi Matrix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Time_ms!$J$55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Time_ms!$I$56:$I$60</c:f>
            </c:strRef>
          </c:cat>
          <c:val>
            <c:numRef>
              <c:f>Time_ms!$J$56:$J$60</c:f>
              <c:numCache/>
            </c:numRef>
          </c:val>
          <c:smooth val="0"/>
        </c:ser>
        <c:ser>
          <c:idx val="1"/>
          <c:order val="1"/>
          <c:tx>
            <c:strRef>
              <c:f>Time_ms!$K$55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Time_ms!$I$56:$I$60</c:f>
            </c:strRef>
          </c:cat>
          <c:val>
            <c:numRef>
              <c:f>Time_ms!$K$56:$K$60</c:f>
              <c:numCache/>
            </c:numRef>
          </c:val>
          <c:smooth val="0"/>
        </c:ser>
        <c:ser>
          <c:idx val="2"/>
          <c:order val="2"/>
          <c:tx>
            <c:strRef>
              <c:f>Time_ms!$L$55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Time_ms!$I$56:$I$60</c:f>
            </c:strRef>
          </c:cat>
          <c:val>
            <c:numRef>
              <c:f>Time_ms!$L$56:$L$60</c:f>
              <c:numCache/>
            </c:numRef>
          </c:val>
          <c:smooth val="0"/>
        </c:ser>
        <c:axId val="1787747886"/>
        <c:axId val="2084806215"/>
      </c:lineChart>
      <c:catAx>
        <c:axId val="1787747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84806215"/>
      </c:catAx>
      <c:valAx>
        <c:axId val="2084806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Efficiency (SpeedUp/ Thread)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8774788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nlpkk Matrix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Time_ms!$J$76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Time_ms!$I$77:$I$81</c:f>
            </c:strRef>
          </c:cat>
          <c:val>
            <c:numRef>
              <c:f>Time_ms!$J$77:$J$81</c:f>
              <c:numCache/>
            </c:numRef>
          </c:val>
          <c:smooth val="0"/>
        </c:ser>
        <c:ser>
          <c:idx val="1"/>
          <c:order val="1"/>
          <c:tx>
            <c:strRef>
              <c:f>Time_ms!$K$76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Time_ms!$I$77:$I$81</c:f>
            </c:strRef>
          </c:cat>
          <c:val>
            <c:numRef>
              <c:f>Time_ms!$K$77:$K$81</c:f>
              <c:numCache/>
            </c:numRef>
          </c:val>
          <c:smooth val="0"/>
        </c:ser>
        <c:ser>
          <c:idx val="2"/>
          <c:order val="2"/>
          <c:tx>
            <c:strRef>
              <c:f>Time_ms!$L$76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Time_ms!$I$77:$I$81</c:f>
            </c:strRef>
          </c:cat>
          <c:val>
            <c:numRef>
              <c:f>Time_ms!$L$77:$L$81</c:f>
              <c:numCache/>
            </c:numRef>
          </c:val>
          <c:smooth val="0"/>
        </c:ser>
        <c:axId val="521401756"/>
        <c:axId val="1811544502"/>
      </c:lineChart>
      <c:catAx>
        <c:axId val="521401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1544502"/>
      </c:catAx>
      <c:valAx>
        <c:axId val="18115445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Efficiency (SpeedUp/ Thread)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2140175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ecology2 Matrix Efficiency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Time_ms!$J$97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Time_ms!$I$98:$I$102</c:f>
            </c:strRef>
          </c:cat>
          <c:val>
            <c:numRef>
              <c:f>Time_ms!$J$98:$J$102</c:f>
              <c:numCache/>
            </c:numRef>
          </c:val>
          <c:smooth val="0"/>
        </c:ser>
        <c:ser>
          <c:idx val="1"/>
          <c:order val="1"/>
          <c:tx>
            <c:strRef>
              <c:f>Time_ms!$K$97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Time_ms!$I$98:$I$102</c:f>
            </c:strRef>
          </c:cat>
          <c:val>
            <c:numRef>
              <c:f>Time_ms!$K$98:$K$102</c:f>
              <c:numCache/>
            </c:numRef>
          </c:val>
          <c:smooth val="0"/>
        </c:ser>
        <c:ser>
          <c:idx val="2"/>
          <c:order val="2"/>
          <c:tx>
            <c:strRef>
              <c:f>Time_ms!$L$97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Time_ms!$I$98:$I$102</c:f>
            </c:strRef>
          </c:cat>
          <c:val>
            <c:numRef>
              <c:f>Time_ms!$L$98:$L$102</c:f>
              <c:numCache/>
            </c:numRef>
          </c:val>
          <c:smooth val="0"/>
        </c:ser>
        <c:axId val="497769917"/>
        <c:axId val="604020540"/>
      </c:lineChart>
      <c:catAx>
        <c:axId val="4977699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Threads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04020540"/>
      </c:catAx>
      <c:valAx>
        <c:axId val="604020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Efficiency (SpeedUp/ Thread)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9776991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104775</xdr:rowOff>
    </xdr:from>
    <xdr:ext cx="4295775" cy="2647950"/>
    <xdr:graphicFrame>
      <xdr:nvGraphicFramePr>
        <xdr:cNvPr id="843347427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28575</xdr:colOff>
      <xdr:row>0</xdr:row>
      <xdr:rowOff>104775</xdr:rowOff>
    </xdr:from>
    <xdr:ext cx="4295775" cy="2647950"/>
    <xdr:graphicFrame>
      <xdr:nvGraphicFramePr>
        <xdr:cNvPr id="45967067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895350</xdr:colOff>
      <xdr:row>0</xdr:row>
      <xdr:rowOff>104775</xdr:rowOff>
    </xdr:from>
    <xdr:ext cx="4295775" cy="2647950"/>
    <xdr:graphicFrame>
      <xdr:nvGraphicFramePr>
        <xdr:cNvPr id="2025560252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123825</xdr:colOff>
      <xdr:row>15</xdr:row>
      <xdr:rowOff>0</xdr:rowOff>
    </xdr:from>
    <xdr:ext cx="4295775" cy="2647950"/>
    <xdr:graphicFrame>
      <xdr:nvGraphicFramePr>
        <xdr:cNvPr id="1094467483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28575</xdr:colOff>
      <xdr:row>15</xdr:row>
      <xdr:rowOff>0</xdr:rowOff>
    </xdr:from>
    <xdr:ext cx="4295775" cy="2647950"/>
    <xdr:graphicFrame>
      <xdr:nvGraphicFramePr>
        <xdr:cNvPr id="1974031808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85725</xdr:rowOff>
    </xdr:from>
    <xdr:ext cx="4438650" cy="2743200"/>
    <xdr:graphicFrame>
      <xdr:nvGraphicFramePr>
        <xdr:cNvPr id="801122459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923925</xdr:colOff>
      <xdr:row>0</xdr:row>
      <xdr:rowOff>85725</xdr:rowOff>
    </xdr:from>
    <xdr:ext cx="4391025" cy="2743200"/>
    <xdr:graphicFrame>
      <xdr:nvGraphicFramePr>
        <xdr:cNvPr id="1274108005" name="Chart 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723900</xdr:colOff>
      <xdr:row>0</xdr:row>
      <xdr:rowOff>85725</xdr:rowOff>
    </xdr:from>
    <xdr:ext cx="4438650" cy="2743200"/>
    <xdr:graphicFrame>
      <xdr:nvGraphicFramePr>
        <xdr:cNvPr id="2138753030" name="Chart 8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114300</xdr:colOff>
      <xdr:row>15</xdr:row>
      <xdr:rowOff>161925</xdr:rowOff>
    </xdr:from>
    <xdr:ext cx="4438650" cy="2743200"/>
    <xdr:graphicFrame>
      <xdr:nvGraphicFramePr>
        <xdr:cNvPr id="49191846" name="Chart 9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904875</xdr:colOff>
      <xdr:row>15</xdr:row>
      <xdr:rowOff>161925</xdr:rowOff>
    </xdr:from>
    <xdr:ext cx="4438650" cy="2743200"/>
    <xdr:graphicFrame>
      <xdr:nvGraphicFramePr>
        <xdr:cNvPr id="453092723" name="Chart 10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29"/>
    <col customWidth="1" min="3" max="4" width="8.71"/>
    <col customWidth="1" min="5" max="5" width="13.86"/>
    <col customWidth="1" min="6" max="6" width="14.29"/>
    <col customWidth="1" min="7" max="9" width="8.71"/>
    <col customWidth="1" min="10" max="10" width="18.29"/>
    <col customWidth="1" min="11" max="11" width="17.14"/>
    <col customWidth="1" min="12" max="12" width="17.86"/>
    <col customWidth="1" min="13" max="13" width="17.29"/>
    <col customWidth="1" min="14" max="26" width="8.71"/>
  </cols>
  <sheetData>
    <row r="1"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C2" s="1"/>
      <c r="D2" s="3" t="s">
        <v>0</v>
      </c>
      <c r="E2" s="3" t="s">
        <v>1</v>
      </c>
      <c r="F2" s="3" t="s">
        <v>2</v>
      </c>
      <c r="G2" s="2"/>
      <c r="H2" s="2"/>
      <c r="I2" s="4" t="s">
        <v>3</v>
      </c>
      <c r="J2" s="5"/>
      <c r="K2" s="5"/>
      <c r="L2" s="5"/>
      <c r="M2" s="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 t="s">
        <v>4</v>
      </c>
      <c r="B3" s="7" t="s">
        <v>5</v>
      </c>
      <c r="C3" s="7" t="s">
        <v>6</v>
      </c>
      <c r="D3" s="8"/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</row>
    <row r="4">
      <c r="A4" s="9" t="s">
        <v>12</v>
      </c>
      <c r="B4" s="9" t="s">
        <v>13</v>
      </c>
      <c r="C4" s="7">
        <v>4.0</v>
      </c>
      <c r="D4" s="10">
        <v>20.1654</v>
      </c>
      <c r="E4" s="11">
        <f t="shared" ref="E4:E19" si="1">$D$14/D4</f>
        <v>0.1922411656</v>
      </c>
      <c r="F4" s="12">
        <f t="shared" ref="F4:F19" si="2">E4/C4</f>
        <v>0.04806029139</v>
      </c>
      <c r="I4" s="3">
        <v>4.0</v>
      </c>
      <c r="J4" s="10">
        <f t="shared" ref="J4:J8" si="3">E4</f>
        <v>0.1922411656</v>
      </c>
      <c r="K4" s="10">
        <f t="shared" ref="K4:K8" si="4">E15</f>
        <v>3.051255411</v>
      </c>
      <c r="L4" s="10">
        <f t="shared" ref="L4:L8" si="5">E9</f>
        <v>2.19434633</v>
      </c>
      <c r="M4" s="2">
        <f t="shared" ref="M4:M8" si="6">I4</f>
        <v>4</v>
      </c>
    </row>
    <row r="5">
      <c r="A5" s="13"/>
      <c r="B5" s="13"/>
      <c r="C5" s="7">
        <v>8.0</v>
      </c>
      <c r="D5" s="10">
        <v>34.8757</v>
      </c>
      <c r="E5" s="11">
        <f t="shared" si="1"/>
        <v>0.1111553316</v>
      </c>
      <c r="F5" s="12">
        <f t="shared" si="2"/>
        <v>0.01389441646</v>
      </c>
      <c r="I5" s="3">
        <v>8.0</v>
      </c>
      <c r="J5" s="10">
        <f t="shared" si="3"/>
        <v>0.1111553316</v>
      </c>
      <c r="K5" s="10">
        <f t="shared" si="4"/>
        <v>6.325282234</v>
      </c>
      <c r="L5" s="10">
        <f t="shared" si="5"/>
        <v>3.260403701</v>
      </c>
      <c r="M5" s="2">
        <f t="shared" si="6"/>
        <v>8</v>
      </c>
    </row>
    <row r="6">
      <c r="A6" s="13"/>
      <c r="B6" s="13"/>
      <c r="C6" s="7">
        <v>16.0</v>
      </c>
      <c r="D6" s="10">
        <v>30.3157</v>
      </c>
      <c r="E6" s="11">
        <f t="shared" si="1"/>
        <v>0.1278749955</v>
      </c>
      <c r="F6" s="12">
        <f t="shared" si="2"/>
        <v>0.007992187217</v>
      </c>
      <c r="I6" s="3">
        <v>16.0</v>
      </c>
      <c r="J6" s="10">
        <f t="shared" si="3"/>
        <v>0.1278749955</v>
      </c>
      <c r="K6" s="10">
        <f t="shared" si="4"/>
        <v>7.632148335</v>
      </c>
      <c r="L6" s="10">
        <f t="shared" si="5"/>
        <v>5.238243874</v>
      </c>
      <c r="M6" s="2">
        <f t="shared" si="6"/>
        <v>16</v>
      </c>
    </row>
    <row r="7">
      <c r="A7" s="13"/>
      <c r="B7" s="13"/>
      <c r="C7" s="7">
        <v>32.0</v>
      </c>
      <c r="D7" s="10">
        <v>27.1386</v>
      </c>
      <c r="E7" s="11">
        <f t="shared" si="1"/>
        <v>0.1428452463</v>
      </c>
      <c r="F7" s="12">
        <f t="shared" si="2"/>
        <v>0.004463913945</v>
      </c>
      <c r="I7" s="3">
        <v>32.0</v>
      </c>
      <c r="J7" s="10">
        <f t="shared" si="3"/>
        <v>0.1428452463</v>
      </c>
      <c r="K7" s="10">
        <f t="shared" si="4"/>
        <v>9.049256404</v>
      </c>
      <c r="L7" s="10">
        <f t="shared" si="5"/>
        <v>4.988438094</v>
      </c>
      <c r="M7" s="2">
        <f t="shared" si="6"/>
        <v>32</v>
      </c>
    </row>
    <row r="8">
      <c r="A8" s="13"/>
      <c r="B8" s="14"/>
      <c r="C8" s="7">
        <v>64.0</v>
      </c>
      <c r="D8" s="10">
        <v>23.0062</v>
      </c>
      <c r="E8" s="11">
        <f t="shared" si="1"/>
        <v>0.168503273</v>
      </c>
      <c r="F8" s="12">
        <f t="shared" si="2"/>
        <v>0.002632863641</v>
      </c>
      <c r="I8" s="3">
        <v>64.0</v>
      </c>
      <c r="J8" s="10">
        <f t="shared" si="3"/>
        <v>0.168503273</v>
      </c>
      <c r="K8" s="10">
        <f t="shared" si="4"/>
        <v>9.726565636</v>
      </c>
      <c r="L8" s="10">
        <f t="shared" si="5"/>
        <v>6.035754099</v>
      </c>
      <c r="M8" s="2">
        <f t="shared" si="6"/>
        <v>64</v>
      </c>
    </row>
    <row r="9">
      <c r="A9" s="13"/>
      <c r="B9" s="9" t="s">
        <v>14</v>
      </c>
      <c r="C9" s="7">
        <v>4.0</v>
      </c>
      <c r="D9" s="10">
        <v>1.76664</v>
      </c>
      <c r="E9" s="11">
        <f t="shared" si="1"/>
        <v>2.19434633</v>
      </c>
      <c r="F9" s="12">
        <f t="shared" si="2"/>
        <v>0.5485865824</v>
      </c>
      <c r="I9" s="2"/>
    </row>
    <row r="10">
      <c r="A10" s="13"/>
      <c r="B10" s="13"/>
      <c r="C10" s="7">
        <v>8.0</v>
      </c>
      <c r="D10" s="10">
        <v>1.189</v>
      </c>
      <c r="E10" s="11">
        <f t="shared" si="1"/>
        <v>3.260403701</v>
      </c>
      <c r="F10" s="12">
        <f t="shared" si="2"/>
        <v>0.4075504626</v>
      </c>
    </row>
    <row r="11">
      <c r="A11" s="13"/>
      <c r="B11" s="13"/>
      <c r="C11" s="7">
        <v>16.0</v>
      </c>
      <c r="D11" s="10">
        <v>0.740061</v>
      </c>
      <c r="E11" s="11">
        <f t="shared" si="1"/>
        <v>5.238243874</v>
      </c>
      <c r="F11" s="12">
        <f t="shared" si="2"/>
        <v>0.3273902422</v>
      </c>
    </row>
    <row r="12">
      <c r="A12" s="13"/>
      <c r="B12" s="13"/>
      <c r="C12" s="7">
        <v>32.0</v>
      </c>
      <c r="D12" s="10">
        <v>0.777121</v>
      </c>
      <c r="E12" s="11">
        <f t="shared" si="1"/>
        <v>4.988438094</v>
      </c>
      <c r="F12" s="12">
        <f t="shared" si="2"/>
        <v>0.1558886904</v>
      </c>
      <c r="I12" s="4" t="s">
        <v>15</v>
      </c>
      <c r="J12" s="5"/>
      <c r="K12" s="5"/>
      <c r="L12" s="6"/>
    </row>
    <row r="13">
      <c r="A13" s="13"/>
      <c r="B13" s="14"/>
      <c r="C13" s="7">
        <v>64.0</v>
      </c>
      <c r="D13" s="10">
        <v>0.642276</v>
      </c>
      <c r="E13" s="11">
        <f t="shared" si="1"/>
        <v>6.035754099</v>
      </c>
      <c r="F13" s="12">
        <f t="shared" si="2"/>
        <v>0.0943086578</v>
      </c>
      <c r="I13" s="3" t="s">
        <v>7</v>
      </c>
      <c r="J13" s="3" t="s">
        <v>8</v>
      </c>
      <c r="K13" s="3" t="s">
        <v>9</v>
      </c>
      <c r="L13" s="3" t="s">
        <v>10</v>
      </c>
      <c r="M13" s="2"/>
    </row>
    <row r="14">
      <c r="A14" s="13"/>
      <c r="B14" s="7" t="s">
        <v>16</v>
      </c>
      <c r="C14" s="7">
        <v>1.0</v>
      </c>
      <c r="D14" s="10">
        <v>3.87662</v>
      </c>
      <c r="E14" s="11">
        <f t="shared" si="1"/>
        <v>1</v>
      </c>
      <c r="F14" s="12">
        <f t="shared" si="2"/>
        <v>1</v>
      </c>
      <c r="I14" s="3">
        <v>4.0</v>
      </c>
      <c r="J14" s="2">
        <f t="shared" ref="J14:J18" si="7">F4</f>
        <v>0.04806029139</v>
      </c>
      <c r="K14" s="2">
        <f t="shared" ref="K14:K18" si="8">F15</f>
        <v>0.7628138528</v>
      </c>
      <c r="L14" s="2">
        <f t="shared" ref="L14:L18" si="9">F9</f>
        <v>0.5485865824</v>
      </c>
    </row>
    <row r="15">
      <c r="A15" s="13"/>
      <c r="B15" s="9" t="s">
        <v>17</v>
      </c>
      <c r="C15" s="7">
        <v>4.0</v>
      </c>
      <c r="D15" s="10">
        <v>1.2705</v>
      </c>
      <c r="E15" s="11">
        <f t="shared" si="1"/>
        <v>3.051255411</v>
      </c>
      <c r="F15" s="12">
        <f t="shared" si="2"/>
        <v>0.7628138528</v>
      </c>
      <c r="I15" s="3">
        <v>8.0</v>
      </c>
      <c r="J15" s="2">
        <f t="shared" si="7"/>
        <v>0.01389441646</v>
      </c>
      <c r="K15" s="2">
        <f t="shared" si="8"/>
        <v>0.7906602793</v>
      </c>
      <c r="L15" s="2">
        <f t="shared" si="9"/>
        <v>0.4075504626</v>
      </c>
    </row>
    <row r="16">
      <c r="A16" s="13"/>
      <c r="B16" s="13"/>
      <c r="C16" s="7">
        <v>8.0</v>
      </c>
      <c r="D16" s="10">
        <v>0.612877</v>
      </c>
      <c r="E16" s="11">
        <f t="shared" si="1"/>
        <v>6.325282234</v>
      </c>
      <c r="F16" s="12">
        <f t="shared" si="2"/>
        <v>0.7906602793</v>
      </c>
      <c r="I16" s="3">
        <v>16.0</v>
      </c>
      <c r="J16" s="2">
        <f t="shared" si="7"/>
        <v>0.007992187217</v>
      </c>
      <c r="K16" s="2">
        <f t="shared" si="8"/>
        <v>0.4770092709</v>
      </c>
      <c r="L16" s="2">
        <f t="shared" si="9"/>
        <v>0.3273902422</v>
      </c>
    </row>
    <row r="17">
      <c r="A17" s="13"/>
      <c r="B17" s="13"/>
      <c r="C17" s="7">
        <v>16.0</v>
      </c>
      <c r="D17" s="10">
        <v>0.507933</v>
      </c>
      <c r="E17" s="11">
        <f t="shared" si="1"/>
        <v>7.632148335</v>
      </c>
      <c r="F17" s="12">
        <f t="shared" si="2"/>
        <v>0.4770092709</v>
      </c>
      <c r="I17" s="3">
        <v>32.0</v>
      </c>
      <c r="J17" s="2">
        <f t="shared" si="7"/>
        <v>0.004463913945</v>
      </c>
      <c r="K17" s="2">
        <f t="shared" si="8"/>
        <v>0.2827892626</v>
      </c>
      <c r="L17" s="2">
        <f t="shared" si="9"/>
        <v>0.1558886904</v>
      </c>
    </row>
    <row r="18">
      <c r="A18" s="13"/>
      <c r="B18" s="13"/>
      <c r="C18" s="7">
        <v>32.0</v>
      </c>
      <c r="D18" s="10">
        <v>0.428391</v>
      </c>
      <c r="E18" s="11">
        <f t="shared" si="1"/>
        <v>9.049256404</v>
      </c>
      <c r="F18" s="12">
        <f t="shared" si="2"/>
        <v>0.2827892626</v>
      </c>
      <c r="I18" s="3">
        <v>64.0</v>
      </c>
      <c r="J18" s="2">
        <f t="shared" si="7"/>
        <v>0.002632863641</v>
      </c>
      <c r="K18" s="2">
        <f t="shared" si="8"/>
        <v>0.1519775881</v>
      </c>
      <c r="L18" s="2">
        <f t="shared" si="9"/>
        <v>0.0943086578</v>
      </c>
    </row>
    <row r="19">
      <c r="A19" s="14"/>
      <c r="B19" s="14"/>
      <c r="C19" s="7">
        <v>64.0</v>
      </c>
      <c r="D19" s="10">
        <v>0.39856</v>
      </c>
      <c r="E19" s="11">
        <f t="shared" si="1"/>
        <v>9.726565636</v>
      </c>
      <c r="F19" s="12">
        <f t="shared" si="2"/>
        <v>0.1519775881</v>
      </c>
      <c r="I19" s="2"/>
    </row>
    <row r="20">
      <c r="A20" s="15"/>
      <c r="B20" s="15"/>
      <c r="C20" s="15"/>
      <c r="D20" s="10"/>
    </row>
    <row r="21">
      <c r="A21" s="15"/>
      <c r="B21" s="15"/>
      <c r="C21" s="15"/>
      <c r="D21" s="10"/>
    </row>
    <row r="22">
      <c r="C22" s="1"/>
      <c r="D22" s="1"/>
    </row>
    <row r="23">
      <c r="C23" s="1"/>
      <c r="D23" s="3" t="s">
        <v>0</v>
      </c>
      <c r="E23" s="3" t="s">
        <v>1</v>
      </c>
      <c r="F23" s="3" t="s">
        <v>2</v>
      </c>
      <c r="I23" s="4" t="s">
        <v>18</v>
      </c>
      <c r="J23" s="5"/>
      <c r="K23" s="5"/>
      <c r="L23" s="5"/>
      <c r="M23" s="6"/>
    </row>
    <row r="24">
      <c r="A24" s="7" t="s">
        <v>4</v>
      </c>
      <c r="B24" s="7" t="s">
        <v>5</v>
      </c>
      <c r="C24" s="7" t="s">
        <v>6</v>
      </c>
      <c r="D24" s="1"/>
      <c r="I24" s="3" t="s">
        <v>7</v>
      </c>
      <c r="J24" s="3" t="s">
        <v>8</v>
      </c>
      <c r="K24" s="3" t="s">
        <v>9</v>
      </c>
      <c r="L24" s="3" t="s">
        <v>10</v>
      </c>
      <c r="M24" s="3" t="s">
        <v>11</v>
      </c>
    </row>
    <row r="25">
      <c r="A25" s="9" t="s">
        <v>19</v>
      </c>
      <c r="B25" s="9" t="s">
        <v>13</v>
      </c>
      <c r="C25" s="7">
        <v>4.0</v>
      </c>
      <c r="D25" s="10">
        <v>241.089</v>
      </c>
      <c r="E25" s="11">
        <f t="shared" ref="E25:E40" si="10">$D$35/D25</f>
        <v>0.07496111395</v>
      </c>
      <c r="F25" s="12">
        <f t="shared" ref="F25:F40" si="11">E25/C25</f>
        <v>0.01874027849</v>
      </c>
      <c r="I25" s="3">
        <v>4.0</v>
      </c>
      <c r="J25" s="10">
        <f t="shared" ref="J25:J29" si="12">E25</f>
        <v>0.07496111395</v>
      </c>
      <c r="K25" s="10">
        <f t="shared" ref="K25:K29" si="13">E36</f>
        <v>0.5808600906</v>
      </c>
      <c r="L25" s="10">
        <f t="shared" ref="L25:L29" si="14">E30</f>
        <v>4.352600028</v>
      </c>
      <c r="M25" s="2">
        <f t="shared" ref="M25:M29" si="15">I25</f>
        <v>4</v>
      </c>
    </row>
    <row r="26" ht="15.75" customHeight="1">
      <c r="A26" s="13"/>
      <c r="B26" s="13"/>
      <c r="C26" s="7">
        <v>8.0</v>
      </c>
      <c r="D26" s="10">
        <v>223.628</v>
      </c>
      <c r="E26" s="11">
        <f t="shared" si="10"/>
        <v>0.08081411988</v>
      </c>
      <c r="F26" s="12">
        <f t="shared" si="11"/>
        <v>0.01010176498</v>
      </c>
      <c r="I26" s="3">
        <v>8.0</v>
      </c>
      <c r="J26" s="10">
        <f t="shared" si="12"/>
        <v>0.08081411988</v>
      </c>
      <c r="K26" s="10">
        <f t="shared" si="13"/>
        <v>3.491482986</v>
      </c>
      <c r="L26" s="10">
        <f t="shared" si="14"/>
        <v>6.249995677</v>
      </c>
      <c r="M26" s="2">
        <f t="shared" si="15"/>
        <v>8</v>
      </c>
    </row>
    <row r="27" ht="15.75" customHeight="1">
      <c r="A27" s="13"/>
      <c r="B27" s="13"/>
      <c r="C27" s="7">
        <v>16.0</v>
      </c>
      <c r="D27" s="10">
        <v>165.855</v>
      </c>
      <c r="E27" s="11">
        <f t="shared" si="10"/>
        <v>0.1089644569</v>
      </c>
      <c r="F27" s="12">
        <f t="shared" si="11"/>
        <v>0.006810278557</v>
      </c>
      <c r="I27" s="3">
        <v>16.0</v>
      </c>
      <c r="J27" s="10">
        <f t="shared" si="12"/>
        <v>0.1089644569</v>
      </c>
      <c r="K27" s="10">
        <f t="shared" si="13"/>
        <v>4.301167141</v>
      </c>
      <c r="L27" s="10">
        <f t="shared" si="14"/>
        <v>5.500875097</v>
      </c>
      <c r="M27" s="2">
        <f t="shared" si="15"/>
        <v>16</v>
      </c>
    </row>
    <row r="28" ht="15.75" customHeight="1">
      <c r="A28" s="13"/>
      <c r="B28" s="13"/>
      <c r="C28" s="7">
        <v>32.0</v>
      </c>
      <c r="D28" s="10">
        <v>165.129</v>
      </c>
      <c r="E28" s="11">
        <f t="shared" si="10"/>
        <v>0.109443526</v>
      </c>
      <c r="F28" s="12">
        <f t="shared" si="11"/>
        <v>0.003420110187</v>
      </c>
      <c r="I28" s="3">
        <v>32.0</v>
      </c>
      <c r="J28" s="10">
        <f t="shared" si="12"/>
        <v>0.109443526</v>
      </c>
      <c r="K28" s="10">
        <f t="shared" si="13"/>
        <v>14.22433334</v>
      </c>
      <c r="L28" s="10">
        <f t="shared" si="14"/>
        <v>9.950994698</v>
      </c>
      <c r="M28" s="2">
        <f t="shared" si="15"/>
        <v>32</v>
      </c>
    </row>
    <row r="29" ht="15.75" customHeight="1">
      <c r="A29" s="13"/>
      <c r="B29" s="14"/>
      <c r="C29" s="7">
        <v>64.0</v>
      </c>
      <c r="D29" s="10">
        <v>152.905</v>
      </c>
      <c r="E29" s="11">
        <f t="shared" si="10"/>
        <v>0.1181929957</v>
      </c>
      <c r="F29" s="12">
        <f t="shared" si="11"/>
        <v>0.001846765557</v>
      </c>
      <c r="I29" s="3">
        <v>64.0</v>
      </c>
      <c r="J29" s="10">
        <f t="shared" si="12"/>
        <v>0.1181929957</v>
      </c>
      <c r="K29" s="10">
        <f t="shared" si="13"/>
        <v>20.68341577</v>
      </c>
      <c r="L29" s="10">
        <f t="shared" si="14"/>
        <v>8.077113883</v>
      </c>
      <c r="M29" s="2">
        <f t="shared" si="15"/>
        <v>64</v>
      </c>
    </row>
    <row r="30" ht="15.75" customHeight="1">
      <c r="A30" s="13"/>
      <c r="B30" s="9" t="s">
        <v>14</v>
      </c>
      <c r="C30" s="7">
        <v>4.0</v>
      </c>
      <c r="D30" s="10">
        <v>4.15207</v>
      </c>
      <c r="E30" s="11">
        <f t="shared" si="10"/>
        <v>4.352600028</v>
      </c>
      <c r="F30" s="12">
        <f t="shared" si="11"/>
        <v>1.088150007</v>
      </c>
      <c r="I30" s="2"/>
    </row>
    <row r="31" ht="15.75" customHeight="1">
      <c r="A31" s="13"/>
      <c r="B31" s="13"/>
      <c r="C31" s="7">
        <v>8.0</v>
      </c>
      <c r="D31" s="10">
        <v>2.89157</v>
      </c>
      <c r="E31" s="11">
        <f t="shared" si="10"/>
        <v>6.249995677</v>
      </c>
      <c r="F31" s="12">
        <f t="shared" si="11"/>
        <v>0.7812494596</v>
      </c>
    </row>
    <row r="32" ht="15.75" customHeight="1">
      <c r="A32" s="13"/>
      <c r="B32" s="13"/>
      <c r="C32" s="7">
        <v>16.0</v>
      </c>
      <c r="D32" s="10">
        <v>3.28535</v>
      </c>
      <c r="E32" s="11">
        <f t="shared" si="10"/>
        <v>5.500875097</v>
      </c>
      <c r="F32" s="12">
        <f t="shared" si="11"/>
        <v>0.3438046936</v>
      </c>
    </row>
    <row r="33" ht="15.75" customHeight="1">
      <c r="A33" s="13"/>
      <c r="B33" s="13"/>
      <c r="C33" s="7">
        <v>32.0</v>
      </c>
      <c r="D33" s="10">
        <v>1.81613</v>
      </c>
      <c r="E33" s="11">
        <f t="shared" si="10"/>
        <v>9.950994698</v>
      </c>
      <c r="F33" s="12">
        <f t="shared" si="11"/>
        <v>0.3109685843</v>
      </c>
      <c r="I33" s="4" t="s">
        <v>20</v>
      </c>
      <c r="J33" s="5"/>
      <c r="K33" s="5"/>
      <c r="L33" s="6"/>
    </row>
    <row r="34" ht="15.75" customHeight="1">
      <c r="A34" s="13"/>
      <c r="B34" s="14"/>
      <c r="C34" s="7">
        <v>64.0</v>
      </c>
      <c r="D34" s="10">
        <v>2.23747</v>
      </c>
      <c r="E34" s="11">
        <f t="shared" si="10"/>
        <v>8.077113883</v>
      </c>
      <c r="F34" s="12">
        <f t="shared" si="11"/>
        <v>0.1262049044</v>
      </c>
      <c r="I34" s="3" t="s">
        <v>7</v>
      </c>
      <c r="J34" s="3" t="s">
        <v>8</v>
      </c>
      <c r="K34" s="3" t="s">
        <v>9</v>
      </c>
      <c r="L34" s="3" t="s">
        <v>10</v>
      </c>
      <c r="M34" s="2"/>
    </row>
    <row r="35" ht="15.75" customHeight="1">
      <c r="A35" s="13"/>
      <c r="B35" s="7" t="s">
        <v>16</v>
      </c>
      <c r="C35" s="7">
        <v>1.0</v>
      </c>
      <c r="D35" s="1">
        <v>18.0723</v>
      </c>
      <c r="E35" s="11">
        <f t="shared" si="10"/>
        <v>1</v>
      </c>
      <c r="F35" s="12">
        <f t="shared" si="11"/>
        <v>1</v>
      </c>
      <c r="I35" s="3">
        <v>4.0</v>
      </c>
      <c r="J35" s="2">
        <f t="shared" ref="J35:J39" si="16">F25</f>
        <v>0.01874027849</v>
      </c>
      <c r="K35" s="2">
        <f t="shared" ref="K35:K39" si="17">F36</f>
        <v>0.1452150227</v>
      </c>
      <c r="L35" s="2">
        <f t="shared" ref="L35:L39" si="18">F30</f>
        <v>1.088150007</v>
      </c>
    </row>
    <row r="36" ht="15.75" customHeight="1">
      <c r="A36" s="13"/>
      <c r="B36" s="9" t="s">
        <v>17</v>
      </c>
      <c r="C36" s="7">
        <v>4.0</v>
      </c>
      <c r="D36" s="10">
        <v>31.113</v>
      </c>
      <c r="E36" s="11">
        <f t="shared" si="10"/>
        <v>0.5808600906</v>
      </c>
      <c r="F36" s="12">
        <f t="shared" si="11"/>
        <v>0.1452150227</v>
      </c>
      <c r="I36" s="3">
        <v>8.0</v>
      </c>
      <c r="J36" s="2">
        <f t="shared" si="16"/>
        <v>0.01010176498</v>
      </c>
      <c r="K36" s="2">
        <f t="shared" si="17"/>
        <v>0.4364353733</v>
      </c>
      <c r="L36" s="2">
        <f t="shared" si="18"/>
        <v>0.7812494596</v>
      </c>
    </row>
    <row r="37" ht="15.75" customHeight="1">
      <c r="A37" s="13"/>
      <c r="B37" s="13"/>
      <c r="C37" s="7">
        <v>8.0</v>
      </c>
      <c r="D37" s="10">
        <v>5.17611</v>
      </c>
      <c r="E37" s="11">
        <f t="shared" si="10"/>
        <v>3.491482986</v>
      </c>
      <c r="F37" s="12">
        <f t="shared" si="11"/>
        <v>0.4364353733</v>
      </c>
      <c r="I37" s="3">
        <v>16.0</v>
      </c>
      <c r="J37" s="2">
        <f t="shared" si="16"/>
        <v>0.006810278557</v>
      </c>
      <c r="K37" s="2">
        <f t="shared" si="17"/>
        <v>0.2688229463</v>
      </c>
      <c r="L37" s="2">
        <f t="shared" si="18"/>
        <v>0.3438046936</v>
      </c>
    </row>
    <row r="38" ht="15.75" customHeight="1">
      <c r="A38" s="13"/>
      <c r="B38" s="13"/>
      <c r="C38" s="7">
        <v>16.0</v>
      </c>
      <c r="D38" s="10">
        <v>4.20172</v>
      </c>
      <c r="E38" s="11">
        <f t="shared" si="10"/>
        <v>4.301167141</v>
      </c>
      <c r="F38" s="12">
        <f t="shared" si="11"/>
        <v>0.2688229463</v>
      </c>
      <c r="I38" s="3">
        <v>32.0</v>
      </c>
      <c r="J38" s="2">
        <f t="shared" si="16"/>
        <v>0.003420110187</v>
      </c>
      <c r="K38" s="2">
        <f t="shared" si="17"/>
        <v>0.444510417</v>
      </c>
      <c r="L38" s="2">
        <f t="shared" si="18"/>
        <v>0.3109685843</v>
      </c>
    </row>
    <row r="39" ht="15.75" customHeight="1">
      <c r="A39" s="13"/>
      <c r="B39" s="13"/>
      <c r="C39" s="7">
        <v>32.0</v>
      </c>
      <c r="D39" s="10">
        <v>1.27052</v>
      </c>
      <c r="E39" s="11">
        <f t="shared" si="10"/>
        <v>14.22433334</v>
      </c>
      <c r="F39" s="12">
        <f t="shared" si="11"/>
        <v>0.444510417</v>
      </c>
      <c r="I39" s="3">
        <v>64.0</v>
      </c>
      <c r="J39" s="2">
        <f t="shared" si="16"/>
        <v>0.001846765557</v>
      </c>
      <c r="K39" s="2">
        <f t="shared" si="17"/>
        <v>0.3231783715</v>
      </c>
      <c r="L39" s="2">
        <f t="shared" si="18"/>
        <v>0.1262049044</v>
      </c>
    </row>
    <row r="40" ht="15.75" customHeight="1">
      <c r="A40" s="14"/>
      <c r="B40" s="14"/>
      <c r="C40" s="7">
        <v>64.0</v>
      </c>
      <c r="D40" s="10">
        <v>0.873758</v>
      </c>
      <c r="E40" s="11">
        <f t="shared" si="10"/>
        <v>20.68341577</v>
      </c>
      <c r="F40" s="12">
        <f t="shared" si="11"/>
        <v>0.3231783715</v>
      </c>
    </row>
    <row r="41" ht="15.75" customHeight="1">
      <c r="A41" s="2"/>
      <c r="B41" s="2"/>
      <c r="C41" s="2"/>
      <c r="D41" s="1"/>
    </row>
    <row r="42" ht="15.75" customHeight="1">
      <c r="A42" s="2"/>
      <c r="B42" s="2"/>
      <c r="C42" s="2"/>
      <c r="D42" s="1"/>
    </row>
    <row r="43" ht="15.75" customHeight="1">
      <c r="C43" s="1"/>
      <c r="D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5.75" customHeight="1">
      <c r="C44" s="1"/>
      <c r="D44" s="3" t="s">
        <v>0</v>
      </c>
      <c r="E44" s="3" t="s">
        <v>1</v>
      </c>
      <c r="F44" s="3" t="s">
        <v>2</v>
      </c>
      <c r="G44" s="2"/>
      <c r="H44" s="2"/>
      <c r="I44" s="4" t="s">
        <v>21</v>
      </c>
      <c r="J44" s="5"/>
      <c r="K44" s="5"/>
      <c r="L44" s="5"/>
      <c r="M44" s="6"/>
      <c r="N44" s="2"/>
      <c r="O44" s="2"/>
      <c r="P44" s="2"/>
      <c r="Q44" s="2"/>
      <c r="R44" s="2"/>
    </row>
    <row r="45" ht="15.75" customHeight="1">
      <c r="A45" s="7" t="s">
        <v>4</v>
      </c>
      <c r="B45" s="7" t="s">
        <v>5</v>
      </c>
      <c r="C45" s="7" t="s">
        <v>6</v>
      </c>
      <c r="D45" s="1"/>
      <c r="E45" s="2"/>
      <c r="F45" s="2"/>
      <c r="G45" s="2"/>
      <c r="I45" s="3" t="s">
        <v>7</v>
      </c>
      <c r="J45" s="3" t="s">
        <v>8</v>
      </c>
      <c r="K45" s="3" t="s">
        <v>9</v>
      </c>
      <c r="L45" s="3" t="s">
        <v>10</v>
      </c>
      <c r="M45" s="3" t="s">
        <v>11</v>
      </c>
    </row>
    <row r="46" ht="15.75" customHeight="1">
      <c r="A46" s="9" t="s">
        <v>22</v>
      </c>
      <c r="B46" s="9" t="s">
        <v>13</v>
      </c>
      <c r="C46" s="7">
        <v>4.0</v>
      </c>
      <c r="D46" s="10">
        <v>10327.6</v>
      </c>
      <c r="E46" s="11">
        <f t="shared" ref="E46:E61" si="19">$D$56/D46</f>
        <v>0.2387786126</v>
      </c>
      <c r="F46" s="12">
        <f t="shared" ref="F46:F61" si="20">E46/C46</f>
        <v>0.05969465316</v>
      </c>
      <c r="I46" s="3">
        <v>4.0</v>
      </c>
      <c r="J46" s="10">
        <f t="shared" ref="J46:J50" si="21">E46</f>
        <v>0.2387786126</v>
      </c>
      <c r="K46" s="10">
        <f t="shared" ref="K46:K50" si="22">E57</f>
        <v>5.888866601</v>
      </c>
      <c r="L46" s="10">
        <f t="shared" ref="L46:L50" si="23">E51</f>
        <v>10.33611085</v>
      </c>
      <c r="M46" s="2">
        <f t="shared" ref="M46:M50" si="24">I46</f>
        <v>4</v>
      </c>
    </row>
    <row r="47" ht="15.75" customHeight="1">
      <c r="A47" s="13"/>
      <c r="B47" s="13"/>
      <c r="C47" s="7">
        <v>8.0</v>
      </c>
      <c r="D47" s="10">
        <v>12886.5</v>
      </c>
      <c r="E47" s="11">
        <f t="shared" si="19"/>
        <v>0.1913638304</v>
      </c>
      <c r="F47" s="12">
        <f t="shared" si="20"/>
        <v>0.0239204788</v>
      </c>
      <c r="I47" s="3">
        <v>8.0</v>
      </c>
      <c r="J47" s="10">
        <f t="shared" si="21"/>
        <v>0.1913638304</v>
      </c>
      <c r="K47" s="10">
        <f t="shared" si="22"/>
        <v>8.207093483</v>
      </c>
      <c r="L47" s="10">
        <f t="shared" si="23"/>
        <v>9.460674675</v>
      </c>
      <c r="M47" s="2">
        <f t="shared" si="24"/>
        <v>8</v>
      </c>
    </row>
    <row r="48" ht="15.75" customHeight="1">
      <c r="A48" s="13"/>
      <c r="B48" s="13"/>
      <c r="C48" s="7">
        <v>16.0</v>
      </c>
      <c r="D48" s="10">
        <v>10422.9</v>
      </c>
      <c r="E48" s="11">
        <f t="shared" si="19"/>
        <v>0.2365953813</v>
      </c>
      <c r="F48" s="12">
        <f t="shared" si="20"/>
        <v>0.01478721133</v>
      </c>
      <c r="I48" s="3">
        <v>16.0</v>
      </c>
      <c r="J48" s="10">
        <f t="shared" si="21"/>
        <v>0.2365953813</v>
      </c>
      <c r="K48" s="10">
        <f t="shared" si="22"/>
        <v>4.863905862</v>
      </c>
      <c r="L48" s="10">
        <f t="shared" si="23"/>
        <v>13.18073461</v>
      </c>
      <c r="M48" s="2">
        <f t="shared" si="24"/>
        <v>16</v>
      </c>
    </row>
    <row r="49" ht="15.75" customHeight="1">
      <c r="A49" s="13"/>
      <c r="B49" s="13"/>
      <c r="C49" s="7">
        <v>32.0</v>
      </c>
      <c r="D49" s="10">
        <v>8884.4</v>
      </c>
      <c r="E49" s="11">
        <f t="shared" si="19"/>
        <v>0.277566296</v>
      </c>
      <c r="F49" s="12">
        <f t="shared" si="20"/>
        <v>0.008673946749</v>
      </c>
      <c r="I49" s="3">
        <v>32.0</v>
      </c>
      <c r="J49" s="10">
        <f t="shared" si="21"/>
        <v>0.277566296</v>
      </c>
      <c r="K49" s="10">
        <f t="shared" si="22"/>
        <v>19.38656625</v>
      </c>
      <c r="L49" s="10">
        <f t="shared" si="23"/>
        <v>8.634972547</v>
      </c>
      <c r="M49" s="2">
        <f t="shared" si="24"/>
        <v>32</v>
      </c>
    </row>
    <row r="50" ht="15.75" customHeight="1">
      <c r="A50" s="13"/>
      <c r="B50" s="14"/>
      <c r="C50" s="7">
        <v>64.0</v>
      </c>
      <c r="D50" s="10">
        <v>8741.67</v>
      </c>
      <c r="E50" s="11">
        <f t="shared" si="19"/>
        <v>0.2820982718</v>
      </c>
      <c r="F50" s="12">
        <f t="shared" si="20"/>
        <v>0.004407785498</v>
      </c>
      <c r="I50" s="3">
        <v>64.0</v>
      </c>
      <c r="J50" s="10">
        <f t="shared" si="21"/>
        <v>0.2820982718</v>
      </c>
      <c r="K50" s="10">
        <f t="shared" si="22"/>
        <v>12.37540586</v>
      </c>
      <c r="L50" s="10">
        <f t="shared" si="23"/>
        <v>12.38933296</v>
      </c>
      <c r="M50" s="2">
        <f t="shared" si="24"/>
        <v>64</v>
      </c>
    </row>
    <row r="51" ht="15.75" customHeight="1">
      <c r="A51" s="13"/>
      <c r="B51" s="9" t="s">
        <v>14</v>
      </c>
      <c r="C51" s="7">
        <v>4.0</v>
      </c>
      <c r="D51" s="10">
        <v>238.582</v>
      </c>
      <c r="E51" s="11">
        <f t="shared" si="19"/>
        <v>10.33611085</v>
      </c>
      <c r="F51" s="12">
        <f t="shared" si="20"/>
        <v>2.584027714</v>
      </c>
      <c r="I51" s="2"/>
    </row>
    <row r="52" ht="15.75" customHeight="1">
      <c r="A52" s="13"/>
      <c r="B52" s="13"/>
      <c r="C52" s="7">
        <v>8.0</v>
      </c>
      <c r="D52" s="10">
        <v>260.659</v>
      </c>
      <c r="E52" s="11">
        <f t="shared" si="19"/>
        <v>9.460674675</v>
      </c>
      <c r="F52" s="12">
        <f t="shared" si="20"/>
        <v>1.182584334</v>
      </c>
    </row>
    <row r="53" ht="15.75" customHeight="1">
      <c r="A53" s="13"/>
      <c r="B53" s="13"/>
      <c r="C53" s="7">
        <v>16.0</v>
      </c>
      <c r="D53" s="10">
        <v>187.092</v>
      </c>
      <c r="E53" s="11">
        <f t="shared" si="19"/>
        <v>13.18073461</v>
      </c>
      <c r="F53" s="12">
        <f t="shared" si="20"/>
        <v>0.8237959132</v>
      </c>
    </row>
    <row r="54" ht="15.75" customHeight="1">
      <c r="A54" s="13"/>
      <c r="B54" s="13"/>
      <c r="C54" s="7">
        <v>32.0</v>
      </c>
      <c r="D54" s="10">
        <v>285.584</v>
      </c>
      <c r="E54" s="11">
        <f t="shared" si="19"/>
        <v>8.634972547</v>
      </c>
      <c r="F54" s="12">
        <f t="shared" si="20"/>
        <v>0.2698428921</v>
      </c>
      <c r="I54" s="4" t="s">
        <v>23</v>
      </c>
      <c r="J54" s="5"/>
      <c r="K54" s="5"/>
      <c r="L54" s="6"/>
    </row>
    <row r="55" ht="15.75" customHeight="1">
      <c r="A55" s="13"/>
      <c r="B55" s="14"/>
      <c r="C55" s="7">
        <v>64.0</v>
      </c>
      <c r="D55" s="10">
        <v>199.043</v>
      </c>
      <c r="E55" s="11">
        <f t="shared" si="19"/>
        <v>12.38933296</v>
      </c>
      <c r="F55" s="12">
        <f t="shared" si="20"/>
        <v>0.1935833275</v>
      </c>
      <c r="I55" s="3" t="s">
        <v>7</v>
      </c>
      <c r="J55" s="3" t="s">
        <v>8</v>
      </c>
      <c r="K55" s="3" t="s">
        <v>9</v>
      </c>
      <c r="L55" s="3" t="s">
        <v>10</v>
      </c>
    </row>
    <row r="56" ht="15.75" customHeight="1">
      <c r="A56" s="13"/>
      <c r="B56" s="7" t="s">
        <v>16</v>
      </c>
      <c r="C56" s="7">
        <v>1.0</v>
      </c>
      <c r="D56" s="10">
        <v>2466.01</v>
      </c>
      <c r="E56" s="11">
        <f t="shared" si="19"/>
        <v>1</v>
      </c>
      <c r="F56" s="12">
        <f t="shared" si="20"/>
        <v>1</v>
      </c>
      <c r="I56" s="3">
        <v>4.0</v>
      </c>
      <c r="J56" s="2">
        <f t="shared" ref="J56:J60" si="25">F46</f>
        <v>0.05969465316</v>
      </c>
      <c r="K56" s="2">
        <f t="shared" ref="K56:K60" si="26">F57</f>
        <v>1.47221665</v>
      </c>
      <c r="L56" s="2">
        <f t="shared" ref="L56:L60" si="27">F51</f>
        <v>2.584027714</v>
      </c>
    </row>
    <row r="57" ht="15.75" customHeight="1">
      <c r="A57" s="13"/>
      <c r="B57" s="9" t="s">
        <v>17</v>
      </c>
      <c r="C57" s="7">
        <v>4.0</v>
      </c>
      <c r="D57" s="10">
        <v>418.758</v>
      </c>
      <c r="E57" s="11">
        <f t="shared" si="19"/>
        <v>5.888866601</v>
      </c>
      <c r="F57" s="12">
        <f t="shared" si="20"/>
        <v>1.47221665</v>
      </c>
      <c r="I57" s="3">
        <v>8.0</v>
      </c>
      <c r="J57" s="2">
        <f t="shared" si="25"/>
        <v>0.0239204788</v>
      </c>
      <c r="K57" s="2">
        <f t="shared" si="26"/>
        <v>1.025886685</v>
      </c>
      <c r="L57" s="2">
        <f t="shared" si="27"/>
        <v>1.182584334</v>
      </c>
    </row>
    <row r="58" ht="15.75" customHeight="1">
      <c r="A58" s="13"/>
      <c r="B58" s="13"/>
      <c r="C58" s="7">
        <v>8.0</v>
      </c>
      <c r="D58" s="10">
        <v>300.473</v>
      </c>
      <c r="E58" s="11">
        <f t="shared" si="19"/>
        <v>8.207093483</v>
      </c>
      <c r="F58" s="12">
        <f t="shared" si="20"/>
        <v>1.025886685</v>
      </c>
      <c r="I58" s="3">
        <v>16.0</v>
      </c>
      <c r="J58" s="2">
        <f t="shared" si="25"/>
        <v>0.01478721133</v>
      </c>
      <c r="K58" s="2">
        <f t="shared" si="26"/>
        <v>0.3039941164</v>
      </c>
      <c r="L58" s="2">
        <f t="shared" si="27"/>
        <v>0.8237959132</v>
      </c>
    </row>
    <row r="59" ht="15.75" customHeight="1">
      <c r="A59" s="13"/>
      <c r="B59" s="13"/>
      <c r="C59" s="7">
        <v>16.0</v>
      </c>
      <c r="D59" s="10">
        <v>507.002</v>
      </c>
      <c r="E59" s="11">
        <f t="shared" si="19"/>
        <v>4.863905862</v>
      </c>
      <c r="F59" s="12">
        <f t="shared" si="20"/>
        <v>0.3039941164</v>
      </c>
      <c r="I59" s="3">
        <v>32.0</v>
      </c>
      <c r="J59" s="2">
        <f t="shared" si="25"/>
        <v>0.008673946749</v>
      </c>
      <c r="K59" s="2">
        <f t="shared" si="26"/>
        <v>0.6058301953</v>
      </c>
      <c r="L59" s="2">
        <f t="shared" si="27"/>
        <v>0.2698428921</v>
      </c>
    </row>
    <row r="60" ht="15.75" customHeight="1">
      <c r="A60" s="13"/>
      <c r="B60" s="13"/>
      <c r="C60" s="7">
        <v>32.0</v>
      </c>
      <c r="D60" s="10">
        <v>127.202</v>
      </c>
      <c r="E60" s="11">
        <f t="shared" si="19"/>
        <v>19.38656625</v>
      </c>
      <c r="F60" s="12">
        <f t="shared" si="20"/>
        <v>0.6058301953</v>
      </c>
      <c r="I60" s="3">
        <v>64.0</v>
      </c>
      <c r="J60" s="2">
        <f t="shared" si="25"/>
        <v>0.004407785498</v>
      </c>
      <c r="K60" s="2">
        <f t="shared" si="26"/>
        <v>0.1933657166</v>
      </c>
      <c r="L60" s="2">
        <f t="shared" si="27"/>
        <v>0.1935833275</v>
      </c>
    </row>
    <row r="61" ht="15.75" customHeight="1">
      <c r="A61" s="14"/>
      <c r="B61" s="14"/>
      <c r="C61" s="7">
        <v>64.0</v>
      </c>
      <c r="D61" s="10">
        <v>199.267</v>
      </c>
      <c r="E61" s="11">
        <f t="shared" si="19"/>
        <v>12.37540586</v>
      </c>
      <c r="F61" s="12">
        <f t="shared" si="20"/>
        <v>0.1933657166</v>
      </c>
    </row>
    <row r="62" ht="15.75" customHeight="1">
      <c r="A62" s="2"/>
      <c r="B62" s="2"/>
      <c r="C62" s="2"/>
      <c r="D62" s="1"/>
    </row>
    <row r="63" ht="15.75" customHeight="1">
      <c r="A63" s="2"/>
      <c r="B63" s="2"/>
      <c r="C63" s="2"/>
      <c r="D63" s="1"/>
    </row>
    <row r="64" ht="15.75" customHeight="1">
      <c r="C64" s="1"/>
      <c r="D64" s="1"/>
    </row>
    <row r="65" ht="15.75" customHeight="1">
      <c r="C65" s="1"/>
      <c r="D65" s="3" t="s">
        <v>0</v>
      </c>
      <c r="E65" s="3" t="s">
        <v>1</v>
      </c>
      <c r="F65" s="3" t="s">
        <v>2</v>
      </c>
      <c r="I65" s="4" t="s">
        <v>24</v>
      </c>
      <c r="J65" s="5"/>
      <c r="K65" s="5"/>
      <c r="L65" s="5"/>
      <c r="M65" s="6"/>
    </row>
    <row r="66" ht="15.75" customHeight="1">
      <c r="A66" s="7" t="s">
        <v>4</v>
      </c>
      <c r="B66" s="7" t="s">
        <v>5</v>
      </c>
      <c r="C66" s="7" t="s">
        <v>6</v>
      </c>
      <c r="D66" s="1"/>
      <c r="I66" s="3" t="s">
        <v>7</v>
      </c>
      <c r="J66" s="3" t="s">
        <v>8</v>
      </c>
      <c r="K66" s="3" t="s">
        <v>9</v>
      </c>
      <c r="L66" s="3" t="s">
        <v>10</v>
      </c>
      <c r="M66" s="3" t="s">
        <v>11</v>
      </c>
    </row>
    <row r="67" ht="15.75" customHeight="1">
      <c r="A67" s="9" t="s">
        <v>25</v>
      </c>
      <c r="B67" s="9" t="s">
        <v>13</v>
      </c>
      <c r="C67" s="7">
        <v>4.0</v>
      </c>
      <c r="D67" s="10">
        <v>180.934</v>
      </c>
      <c r="E67" s="11">
        <f t="shared" ref="E67:E82" si="28">$D$77/D67</f>
        <v>0.1084130125</v>
      </c>
      <c r="F67" s="12">
        <f t="shared" ref="F67:F82" si="29">E67/C67</f>
        <v>0.02710325312</v>
      </c>
      <c r="I67" s="3">
        <v>4.0</v>
      </c>
      <c r="J67" s="10">
        <f t="shared" ref="J67:J71" si="30">E67</f>
        <v>0.1084130125</v>
      </c>
      <c r="K67" s="10">
        <f t="shared" ref="K67:K71" si="31">E78</f>
        <v>1.606453462</v>
      </c>
      <c r="L67" s="10">
        <f t="shared" ref="L67:L71" si="32">E72</f>
        <v>2.500892466</v>
      </c>
      <c r="M67" s="2">
        <f t="shared" ref="M67:M71" si="33">I67</f>
        <v>4</v>
      </c>
    </row>
    <row r="68" ht="15.75" customHeight="1">
      <c r="A68" s="13"/>
      <c r="B68" s="13"/>
      <c r="C68" s="7">
        <v>8.0</v>
      </c>
      <c r="D68" s="10">
        <v>127.267</v>
      </c>
      <c r="E68" s="11">
        <f t="shared" si="28"/>
        <v>0.1541295073</v>
      </c>
      <c r="F68" s="12">
        <f t="shared" si="29"/>
        <v>0.01926618841</v>
      </c>
      <c r="I68" s="3">
        <v>8.0</v>
      </c>
      <c r="J68" s="10">
        <f t="shared" si="30"/>
        <v>0.1541295073</v>
      </c>
      <c r="K68" s="10">
        <f t="shared" si="31"/>
        <v>2.336990515</v>
      </c>
      <c r="L68" s="10">
        <f t="shared" si="32"/>
        <v>5.320177271</v>
      </c>
      <c r="M68" s="2">
        <f t="shared" si="33"/>
        <v>8</v>
      </c>
    </row>
    <row r="69" ht="15.75" customHeight="1">
      <c r="A69" s="13"/>
      <c r="B69" s="13"/>
      <c r="C69" s="7">
        <v>16.0</v>
      </c>
      <c r="D69" s="10">
        <v>139.996</v>
      </c>
      <c r="E69" s="11">
        <f t="shared" si="28"/>
        <v>0.1401154319</v>
      </c>
      <c r="F69" s="12">
        <f t="shared" si="29"/>
        <v>0.008757214492</v>
      </c>
      <c r="I69" s="3">
        <v>16.0</v>
      </c>
      <c r="J69" s="10">
        <f t="shared" si="30"/>
        <v>0.1401154319</v>
      </c>
      <c r="K69" s="10">
        <f t="shared" si="31"/>
        <v>4.401541109</v>
      </c>
      <c r="L69" s="10">
        <f t="shared" si="32"/>
        <v>2.802925299</v>
      </c>
      <c r="M69" s="2">
        <f t="shared" si="33"/>
        <v>16</v>
      </c>
    </row>
    <row r="70" ht="15.75" customHeight="1">
      <c r="A70" s="13"/>
      <c r="B70" s="13"/>
      <c r="C70" s="7">
        <v>32.0</v>
      </c>
      <c r="D70" s="10">
        <v>172.417</v>
      </c>
      <c r="E70" s="11">
        <f t="shared" si="28"/>
        <v>0.1137683639</v>
      </c>
      <c r="F70" s="12">
        <f t="shared" si="29"/>
        <v>0.003555261372</v>
      </c>
      <c r="I70" s="3">
        <v>32.0</v>
      </c>
      <c r="J70" s="10">
        <f t="shared" si="30"/>
        <v>0.1137683639</v>
      </c>
      <c r="K70" s="10">
        <f t="shared" si="31"/>
        <v>9.719979981</v>
      </c>
      <c r="L70" s="10">
        <f t="shared" si="32"/>
        <v>2.509470194</v>
      </c>
      <c r="M70" s="2">
        <f t="shared" si="33"/>
        <v>32</v>
      </c>
    </row>
    <row r="71" ht="15.75" customHeight="1">
      <c r="A71" s="13"/>
      <c r="B71" s="14"/>
      <c r="C71" s="7">
        <v>64.0</v>
      </c>
      <c r="D71" s="10">
        <v>81.2595</v>
      </c>
      <c r="E71" s="11">
        <f t="shared" si="28"/>
        <v>0.2413945446</v>
      </c>
      <c r="F71" s="12">
        <f t="shared" si="29"/>
        <v>0.00377178976</v>
      </c>
      <c r="I71" s="3">
        <v>64.0</v>
      </c>
      <c r="J71" s="10">
        <f t="shared" si="30"/>
        <v>0.2413945446</v>
      </c>
      <c r="K71" s="10">
        <f t="shared" si="31"/>
        <v>6.758267125</v>
      </c>
      <c r="L71" s="10">
        <f t="shared" si="32"/>
        <v>0.5424833167</v>
      </c>
      <c r="M71" s="2">
        <f t="shared" si="33"/>
        <v>64</v>
      </c>
    </row>
    <row r="72" ht="15.75" customHeight="1">
      <c r="A72" s="13"/>
      <c r="B72" s="9" t="s">
        <v>14</v>
      </c>
      <c r="C72" s="7">
        <v>4.0</v>
      </c>
      <c r="D72" s="10">
        <v>7.84344</v>
      </c>
      <c r="E72" s="11">
        <f t="shared" si="28"/>
        <v>2.500892466</v>
      </c>
      <c r="F72" s="12">
        <f t="shared" si="29"/>
        <v>0.6252231164</v>
      </c>
      <c r="I72" s="2"/>
    </row>
    <row r="73" ht="15.75" customHeight="1">
      <c r="A73" s="13"/>
      <c r="B73" s="13"/>
      <c r="C73" s="7">
        <v>8.0</v>
      </c>
      <c r="D73" s="10">
        <v>3.68702</v>
      </c>
      <c r="E73" s="11">
        <f t="shared" si="28"/>
        <v>5.320177271</v>
      </c>
      <c r="F73" s="12">
        <f t="shared" si="29"/>
        <v>0.6650221588</v>
      </c>
    </row>
    <row r="74" ht="15.75" customHeight="1">
      <c r="A74" s="13"/>
      <c r="B74" s="13"/>
      <c r="C74" s="7">
        <v>16.0</v>
      </c>
      <c r="D74" s="10">
        <v>6.99826</v>
      </c>
      <c r="E74" s="11">
        <f t="shared" si="28"/>
        <v>2.802925299</v>
      </c>
      <c r="F74" s="12">
        <f t="shared" si="29"/>
        <v>0.1751828312</v>
      </c>
    </row>
    <row r="75" ht="15.75" customHeight="1">
      <c r="A75" s="13"/>
      <c r="B75" s="13"/>
      <c r="C75" s="7">
        <v>32.0</v>
      </c>
      <c r="D75" s="10">
        <v>7.81663</v>
      </c>
      <c r="E75" s="11">
        <f t="shared" si="28"/>
        <v>2.509470194</v>
      </c>
      <c r="F75" s="12">
        <f t="shared" si="29"/>
        <v>0.07842094355</v>
      </c>
      <c r="I75" s="4" t="s">
        <v>26</v>
      </c>
      <c r="J75" s="5"/>
      <c r="K75" s="5"/>
      <c r="L75" s="6"/>
    </row>
    <row r="76" ht="15.75" customHeight="1">
      <c r="A76" s="13"/>
      <c r="B76" s="14"/>
      <c r="C76" s="7">
        <v>64.0</v>
      </c>
      <c r="D76" s="10">
        <v>36.1589</v>
      </c>
      <c r="E76" s="11">
        <f t="shared" si="28"/>
        <v>0.5424833167</v>
      </c>
      <c r="F76" s="12">
        <f t="shared" si="29"/>
        <v>0.008476301823</v>
      </c>
      <c r="I76" s="3" t="s">
        <v>7</v>
      </c>
      <c r="J76" s="3" t="s">
        <v>8</v>
      </c>
      <c r="K76" s="3" t="s">
        <v>9</v>
      </c>
      <c r="L76" s="3" t="s">
        <v>10</v>
      </c>
    </row>
    <row r="77" ht="15.75" customHeight="1">
      <c r="A77" s="13"/>
      <c r="B77" s="7" t="s">
        <v>16</v>
      </c>
      <c r="C77" s="7">
        <v>1.0</v>
      </c>
      <c r="D77" s="1">
        <v>19.6156</v>
      </c>
      <c r="E77" s="11">
        <f t="shared" si="28"/>
        <v>1</v>
      </c>
      <c r="F77" s="12">
        <f t="shared" si="29"/>
        <v>1</v>
      </c>
      <c r="I77" s="3">
        <v>4.0</v>
      </c>
      <c r="J77" s="2">
        <f t="shared" ref="J77:J81" si="34">F67</f>
        <v>0.02710325312</v>
      </c>
      <c r="K77" s="2">
        <f t="shared" ref="K77:K81" si="35">F78</f>
        <v>0.4016133655</v>
      </c>
      <c r="L77" s="2">
        <f t="shared" ref="L77:L81" si="36">F72</f>
        <v>0.6252231164</v>
      </c>
    </row>
    <row r="78" ht="15.75" customHeight="1">
      <c r="A78" s="13"/>
      <c r="B78" s="9" t="s">
        <v>17</v>
      </c>
      <c r="C78" s="7">
        <v>4.0</v>
      </c>
      <c r="D78" s="10">
        <v>12.2105</v>
      </c>
      <c r="E78" s="11">
        <f t="shared" si="28"/>
        <v>1.606453462</v>
      </c>
      <c r="F78" s="12">
        <f t="shared" si="29"/>
        <v>0.4016133655</v>
      </c>
      <c r="I78" s="3">
        <v>8.0</v>
      </c>
      <c r="J78" s="2">
        <f t="shared" si="34"/>
        <v>0.01926618841</v>
      </c>
      <c r="K78" s="2">
        <f t="shared" si="35"/>
        <v>0.2921238144</v>
      </c>
      <c r="L78" s="2">
        <f t="shared" si="36"/>
        <v>0.6650221588</v>
      </c>
    </row>
    <row r="79" ht="15.75" customHeight="1">
      <c r="A79" s="13"/>
      <c r="B79" s="13"/>
      <c r="C79" s="7">
        <v>8.0</v>
      </c>
      <c r="D79" s="10">
        <v>8.39353</v>
      </c>
      <c r="E79" s="11">
        <f t="shared" si="28"/>
        <v>2.336990515</v>
      </c>
      <c r="F79" s="12">
        <f t="shared" si="29"/>
        <v>0.2921238144</v>
      </c>
      <c r="I79" s="3">
        <v>16.0</v>
      </c>
      <c r="J79" s="2">
        <f t="shared" si="34"/>
        <v>0.008757214492</v>
      </c>
      <c r="K79" s="2">
        <f t="shared" si="35"/>
        <v>0.2750963193</v>
      </c>
      <c r="L79" s="2">
        <f t="shared" si="36"/>
        <v>0.1751828312</v>
      </c>
    </row>
    <row r="80" ht="15.75" customHeight="1">
      <c r="A80" s="13"/>
      <c r="B80" s="13"/>
      <c r="C80" s="7">
        <v>16.0</v>
      </c>
      <c r="D80" s="10">
        <v>4.45653</v>
      </c>
      <c r="E80" s="11">
        <f t="shared" si="28"/>
        <v>4.401541109</v>
      </c>
      <c r="F80" s="12">
        <f t="shared" si="29"/>
        <v>0.2750963193</v>
      </c>
      <c r="I80" s="3">
        <v>32.0</v>
      </c>
      <c r="J80" s="2">
        <f t="shared" si="34"/>
        <v>0.003555261372</v>
      </c>
      <c r="K80" s="2">
        <f t="shared" si="35"/>
        <v>0.3037493744</v>
      </c>
      <c r="L80" s="2">
        <f t="shared" si="36"/>
        <v>0.07842094355</v>
      </c>
    </row>
    <row r="81" ht="15.75" customHeight="1">
      <c r="A81" s="13"/>
      <c r="B81" s="13"/>
      <c r="C81" s="7">
        <v>32.0</v>
      </c>
      <c r="D81" s="10">
        <v>2.01807</v>
      </c>
      <c r="E81" s="11">
        <f t="shared" si="28"/>
        <v>9.719979981</v>
      </c>
      <c r="F81" s="12">
        <f t="shared" si="29"/>
        <v>0.3037493744</v>
      </c>
      <c r="I81" s="3">
        <v>64.0</v>
      </c>
      <c r="J81" s="2">
        <f t="shared" si="34"/>
        <v>0.00377178976</v>
      </c>
      <c r="K81" s="2">
        <f t="shared" si="35"/>
        <v>0.1055979238</v>
      </c>
      <c r="L81" s="2">
        <f t="shared" si="36"/>
        <v>0.008476301823</v>
      </c>
    </row>
    <row r="82" ht="15.75" customHeight="1">
      <c r="A82" s="14"/>
      <c r="B82" s="14"/>
      <c r="C82" s="7">
        <v>64.0</v>
      </c>
      <c r="D82" s="10">
        <v>2.90246</v>
      </c>
      <c r="E82" s="11">
        <f t="shared" si="28"/>
        <v>6.758267125</v>
      </c>
      <c r="F82" s="12">
        <f t="shared" si="29"/>
        <v>0.1055979238</v>
      </c>
    </row>
    <row r="83" ht="15.75" customHeight="1">
      <c r="A83" s="2"/>
      <c r="B83" s="2"/>
      <c r="C83" s="2"/>
      <c r="D83" s="1"/>
    </row>
    <row r="84" ht="15.75" customHeight="1">
      <c r="A84" s="2"/>
      <c r="B84" s="2"/>
      <c r="C84" s="2"/>
      <c r="D84" s="1"/>
    </row>
    <row r="85" ht="15.75" customHeight="1">
      <c r="C85" s="1"/>
      <c r="D85" s="1"/>
    </row>
    <row r="86" ht="15.75" customHeight="1">
      <c r="C86" s="1"/>
      <c r="D86" s="3" t="s">
        <v>0</v>
      </c>
      <c r="E86" s="3" t="s">
        <v>1</v>
      </c>
      <c r="F86" s="3" t="s">
        <v>2</v>
      </c>
      <c r="I86" s="16" t="s">
        <v>27</v>
      </c>
      <c r="J86" s="5"/>
      <c r="K86" s="5"/>
      <c r="L86" s="5"/>
      <c r="M86" s="6"/>
    </row>
    <row r="87" ht="15.75" customHeight="1">
      <c r="A87" s="7" t="s">
        <v>4</v>
      </c>
      <c r="B87" s="7" t="s">
        <v>5</v>
      </c>
      <c r="C87" s="7" t="s">
        <v>6</v>
      </c>
      <c r="D87" s="1"/>
      <c r="I87" s="3" t="s">
        <v>7</v>
      </c>
      <c r="J87" s="3" t="s">
        <v>8</v>
      </c>
      <c r="K87" s="3" t="s">
        <v>9</v>
      </c>
      <c r="L87" s="3" t="s">
        <v>10</v>
      </c>
      <c r="M87" s="3" t="s">
        <v>11</v>
      </c>
    </row>
    <row r="88" ht="15.75" customHeight="1">
      <c r="A88" s="17" t="s">
        <v>28</v>
      </c>
      <c r="B88" s="9" t="s">
        <v>13</v>
      </c>
      <c r="C88" s="7">
        <v>4.0</v>
      </c>
      <c r="D88" s="10">
        <v>130.424</v>
      </c>
      <c r="E88" s="11">
        <f t="shared" ref="E88:E103" si="37">$D$98/D88</f>
        <v>0.03130405447</v>
      </c>
      <c r="F88" s="12">
        <f t="shared" ref="F88:F103" si="38">E88/C88</f>
        <v>0.007826013617</v>
      </c>
      <c r="I88" s="3">
        <v>4.0</v>
      </c>
      <c r="J88" s="10">
        <f t="shared" ref="J88:J92" si="39">E88</f>
        <v>0.03130405447</v>
      </c>
      <c r="K88" s="10">
        <f t="shared" ref="K88:K92" si="40">E99</f>
        <v>2.665604638</v>
      </c>
      <c r="L88" s="10">
        <f t="shared" ref="L88:L92" si="41">E93</f>
        <v>0.2719219959</v>
      </c>
      <c r="M88" s="2">
        <f t="shared" ref="M88:M92" si="42">I88</f>
        <v>4</v>
      </c>
    </row>
    <row r="89" ht="15.75" customHeight="1">
      <c r="A89" s="13"/>
      <c r="B89" s="13"/>
      <c r="C89" s="7">
        <v>8.0</v>
      </c>
      <c r="D89" s="10">
        <v>127.598</v>
      </c>
      <c r="E89" s="11">
        <f t="shared" si="37"/>
        <v>0.03199736673</v>
      </c>
      <c r="F89" s="12">
        <f t="shared" si="38"/>
        <v>0.003999670841</v>
      </c>
      <c r="I89" s="3">
        <v>8.0</v>
      </c>
      <c r="J89" s="10">
        <f t="shared" si="39"/>
        <v>0.03199736673</v>
      </c>
      <c r="K89" s="10">
        <f t="shared" si="40"/>
        <v>3.305509452</v>
      </c>
      <c r="L89" s="10">
        <f t="shared" si="41"/>
        <v>2.206513398</v>
      </c>
      <c r="M89" s="2">
        <f t="shared" si="42"/>
        <v>8</v>
      </c>
    </row>
    <row r="90" ht="15.75" customHeight="1">
      <c r="A90" s="13"/>
      <c r="B90" s="13"/>
      <c r="C90" s="7">
        <v>16.0</v>
      </c>
      <c r="D90" s="10">
        <v>105.175</v>
      </c>
      <c r="E90" s="11">
        <f t="shared" si="37"/>
        <v>0.03881911101</v>
      </c>
      <c r="F90" s="12">
        <f t="shared" si="38"/>
        <v>0.002426194438</v>
      </c>
      <c r="I90" s="3">
        <v>16.0</v>
      </c>
      <c r="J90" s="10">
        <f t="shared" si="39"/>
        <v>0.03881911101</v>
      </c>
      <c r="K90" s="10">
        <f t="shared" si="40"/>
        <v>5.999097814</v>
      </c>
      <c r="L90" s="10">
        <f t="shared" si="41"/>
        <v>3.289503368</v>
      </c>
      <c r="M90" s="2">
        <f t="shared" si="42"/>
        <v>16</v>
      </c>
    </row>
    <row r="91" ht="15.75" customHeight="1">
      <c r="A91" s="13"/>
      <c r="B91" s="13"/>
      <c r="C91" s="7">
        <v>32.0</v>
      </c>
      <c r="D91" s="10">
        <v>105.058</v>
      </c>
      <c r="E91" s="11">
        <f t="shared" si="37"/>
        <v>0.03886234271</v>
      </c>
      <c r="F91" s="12">
        <f t="shared" si="38"/>
        <v>0.00121444821</v>
      </c>
      <c r="I91" s="3">
        <v>32.0</v>
      </c>
      <c r="J91" s="10">
        <f t="shared" si="39"/>
        <v>0.03886234271</v>
      </c>
      <c r="K91" s="10">
        <f t="shared" si="40"/>
        <v>21.57563203</v>
      </c>
      <c r="L91" s="10">
        <f t="shared" si="41"/>
        <v>8.224421059</v>
      </c>
      <c r="M91" s="2">
        <f t="shared" si="42"/>
        <v>32</v>
      </c>
    </row>
    <row r="92" ht="15.75" customHeight="1">
      <c r="A92" s="13"/>
      <c r="B92" s="14"/>
      <c r="C92" s="7">
        <v>64.0</v>
      </c>
      <c r="D92" s="10">
        <v>133.823</v>
      </c>
      <c r="E92" s="11">
        <f t="shared" si="37"/>
        <v>0.03050895586</v>
      </c>
      <c r="F92" s="12">
        <f t="shared" si="38"/>
        <v>0.0004767024353</v>
      </c>
      <c r="I92" s="3">
        <v>64.0</v>
      </c>
      <c r="J92" s="10">
        <f t="shared" si="39"/>
        <v>0.03050895586</v>
      </c>
      <c r="K92" s="10">
        <f t="shared" si="40"/>
        <v>16.94965916</v>
      </c>
      <c r="L92" s="10">
        <f t="shared" si="41"/>
        <v>7.11494962</v>
      </c>
      <c r="M92" s="2">
        <f t="shared" si="42"/>
        <v>64</v>
      </c>
    </row>
    <row r="93" ht="15.75" customHeight="1">
      <c r="A93" s="13"/>
      <c r="B93" s="9" t="s">
        <v>14</v>
      </c>
      <c r="C93" s="7">
        <v>4.0</v>
      </c>
      <c r="D93" s="10">
        <v>15.0146</v>
      </c>
      <c r="E93" s="11">
        <f t="shared" si="37"/>
        <v>0.2719219959</v>
      </c>
      <c r="F93" s="12">
        <f t="shared" si="38"/>
        <v>0.06798049898</v>
      </c>
      <c r="I93" s="2"/>
    </row>
    <row r="94" ht="15.75" customHeight="1">
      <c r="A94" s="13"/>
      <c r="B94" s="13"/>
      <c r="C94" s="7">
        <v>8.0</v>
      </c>
      <c r="D94" s="10">
        <v>1.85034</v>
      </c>
      <c r="E94" s="11">
        <f t="shared" si="37"/>
        <v>2.206513398</v>
      </c>
      <c r="F94" s="12">
        <f t="shared" si="38"/>
        <v>0.2758141747</v>
      </c>
    </row>
    <row r="95" ht="15.75" customHeight="1">
      <c r="A95" s="13"/>
      <c r="B95" s="13"/>
      <c r="C95" s="7">
        <v>16.0</v>
      </c>
      <c r="D95" s="10">
        <v>1.24116</v>
      </c>
      <c r="E95" s="11">
        <f t="shared" si="37"/>
        <v>3.289503368</v>
      </c>
      <c r="F95" s="12">
        <f t="shared" si="38"/>
        <v>0.2055939605</v>
      </c>
    </row>
    <row r="96" ht="15.75" customHeight="1">
      <c r="A96" s="13"/>
      <c r="B96" s="13"/>
      <c r="C96" s="7">
        <v>32.0</v>
      </c>
      <c r="D96" s="10">
        <v>0.496424</v>
      </c>
      <c r="E96" s="11">
        <f t="shared" si="37"/>
        <v>8.224421059</v>
      </c>
      <c r="F96" s="12">
        <f t="shared" si="38"/>
        <v>0.2570131581</v>
      </c>
      <c r="I96" s="16" t="s">
        <v>29</v>
      </c>
      <c r="J96" s="5"/>
      <c r="K96" s="5"/>
      <c r="L96" s="6"/>
    </row>
    <row r="97" ht="15.75" customHeight="1">
      <c r="A97" s="13"/>
      <c r="B97" s="14"/>
      <c r="C97" s="7">
        <v>64.0</v>
      </c>
      <c r="D97" s="10">
        <v>0.573834</v>
      </c>
      <c r="E97" s="11">
        <f t="shared" si="37"/>
        <v>7.11494962</v>
      </c>
      <c r="F97" s="12">
        <f t="shared" si="38"/>
        <v>0.1111710878</v>
      </c>
      <c r="I97" s="3" t="s">
        <v>7</v>
      </c>
      <c r="J97" s="3" t="s">
        <v>8</v>
      </c>
      <c r="K97" s="3" t="s">
        <v>9</v>
      </c>
      <c r="L97" s="3" t="s">
        <v>10</v>
      </c>
    </row>
    <row r="98" ht="15.75" customHeight="1">
      <c r="A98" s="13"/>
      <c r="B98" s="7" t="s">
        <v>16</v>
      </c>
      <c r="C98" s="7">
        <v>1.0</v>
      </c>
      <c r="D98" s="18">
        <v>4.0828</v>
      </c>
      <c r="E98" s="11">
        <f t="shared" si="37"/>
        <v>1</v>
      </c>
      <c r="F98" s="12">
        <f t="shared" si="38"/>
        <v>1</v>
      </c>
      <c r="I98" s="3">
        <v>4.0</v>
      </c>
      <c r="J98" s="2">
        <f t="shared" ref="J98:J102" si="43">F88</f>
        <v>0.007826013617</v>
      </c>
      <c r="K98" s="2">
        <f t="shared" ref="K98:K102" si="44">F99</f>
        <v>0.6664011595</v>
      </c>
      <c r="L98" s="2">
        <f t="shared" ref="L98:L102" si="45">F93</f>
        <v>0.06798049898</v>
      </c>
    </row>
    <row r="99" ht="15.75" customHeight="1">
      <c r="A99" s="13"/>
      <c r="B99" s="9" t="s">
        <v>17</v>
      </c>
      <c r="C99" s="7">
        <v>4.0</v>
      </c>
      <c r="D99" s="10">
        <v>1.53166</v>
      </c>
      <c r="E99" s="11">
        <f t="shared" si="37"/>
        <v>2.665604638</v>
      </c>
      <c r="F99" s="12">
        <f t="shared" si="38"/>
        <v>0.6664011595</v>
      </c>
      <c r="I99" s="3">
        <v>8.0</v>
      </c>
      <c r="J99" s="2">
        <f t="shared" si="43"/>
        <v>0.003999670841</v>
      </c>
      <c r="K99" s="2">
        <f t="shared" si="44"/>
        <v>0.4131886815</v>
      </c>
      <c r="L99" s="2">
        <f t="shared" si="45"/>
        <v>0.2758141747</v>
      </c>
    </row>
    <row r="100" ht="15.75" customHeight="1">
      <c r="A100" s="13"/>
      <c r="B100" s="13"/>
      <c r="C100" s="7">
        <v>8.0</v>
      </c>
      <c r="D100" s="10">
        <v>1.23515</v>
      </c>
      <c r="E100" s="11">
        <f t="shared" si="37"/>
        <v>3.305509452</v>
      </c>
      <c r="F100" s="12">
        <f t="shared" si="38"/>
        <v>0.4131886815</v>
      </c>
      <c r="I100" s="3">
        <v>16.0</v>
      </c>
      <c r="J100" s="2">
        <f t="shared" si="43"/>
        <v>0.002426194438</v>
      </c>
      <c r="K100" s="2">
        <f t="shared" si="44"/>
        <v>0.3749436134</v>
      </c>
      <c r="L100" s="2">
        <f t="shared" si="45"/>
        <v>0.2055939605</v>
      </c>
    </row>
    <row r="101" ht="15.75" customHeight="1">
      <c r="A101" s="13"/>
      <c r="B101" s="13"/>
      <c r="C101" s="7">
        <v>16.0</v>
      </c>
      <c r="D101" s="10">
        <v>0.680569</v>
      </c>
      <c r="E101" s="11">
        <f t="shared" si="37"/>
        <v>5.999097814</v>
      </c>
      <c r="F101" s="12">
        <f t="shared" si="38"/>
        <v>0.3749436134</v>
      </c>
      <c r="I101" s="3">
        <v>32.0</v>
      </c>
      <c r="J101" s="2">
        <f t="shared" si="43"/>
        <v>0.00121444821</v>
      </c>
      <c r="K101" s="2">
        <f t="shared" si="44"/>
        <v>0.6742385009</v>
      </c>
      <c r="L101" s="2">
        <f t="shared" si="45"/>
        <v>0.2570131581</v>
      </c>
    </row>
    <row r="102" ht="15.75" customHeight="1">
      <c r="A102" s="13"/>
      <c r="B102" s="13"/>
      <c r="C102" s="7">
        <v>32.0</v>
      </c>
      <c r="D102" s="10">
        <v>0.189232</v>
      </c>
      <c r="E102" s="11">
        <f t="shared" si="37"/>
        <v>21.57563203</v>
      </c>
      <c r="F102" s="12">
        <f t="shared" si="38"/>
        <v>0.6742385009</v>
      </c>
      <c r="I102" s="3">
        <v>64.0</v>
      </c>
      <c r="J102" s="2">
        <f t="shared" si="43"/>
        <v>0.0004767024353</v>
      </c>
      <c r="K102" s="2">
        <f t="shared" si="44"/>
        <v>0.2648384244</v>
      </c>
      <c r="L102" s="2">
        <f t="shared" si="45"/>
        <v>0.1111710878</v>
      </c>
    </row>
    <row r="103" ht="15.75" customHeight="1">
      <c r="A103" s="14"/>
      <c r="B103" s="14"/>
      <c r="C103" s="7">
        <v>64.0</v>
      </c>
      <c r="D103" s="10">
        <v>0.240878</v>
      </c>
      <c r="E103" s="11">
        <f t="shared" si="37"/>
        <v>16.94965916</v>
      </c>
      <c r="F103" s="12">
        <f t="shared" si="38"/>
        <v>0.2648384244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30">
    <mergeCell ref="B30:B34"/>
    <mergeCell ref="I33:L33"/>
    <mergeCell ref="B36:B40"/>
    <mergeCell ref="I44:M44"/>
    <mergeCell ref="I54:L54"/>
    <mergeCell ref="I65:M65"/>
    <mergeCell ref="I2:M2"/>
    <mergeCell ref="A4:A19"/>
    <mergeCell ref="B4:B8"/>
    <mergeCell ref="B9:B13"/>
    <mergeCell ref="I12:L12"/>
    <mergeCell ref="I23:M23"/>
    <mergeCell ref="A25:A40"/>
    <mergeCell ref="B67:B71"/>
    <mergeCell ref="B72:B76"/>
    <mergeCell ref="I75:L75"/>
    <mergeCell ref="I86:M86"/>
    <mergeCell ref="A67:A82"/>
    <mergeCell ref="A88:A103"/>
    <mergeCell ref="B99:B103"/>
    <mergeCell ref="B88:B92"/>
    <mergeCell ref="B93:B97"/>
    <mergeCell ref="I96:L96"/>
    <mergeCell ref="B15:B19"/>
    <mergeCell ref="B25:B29"/>
    <mergeCell ref="A46:A61"/>
    <mergeCell ref="B46:B50"/>
    <mergeCell ref="B51:B55"/>
    <mergeCell ref="B57:B61"/>
    <mergeCell ref="B78:B82"/>
  </mergeCells>
  <printOptions/>
  <pageMargins bottom="2.6190476190476195" footer="0.0" header="0.0" left="0.7" right="0.7" top="0.536182977127859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3" width="10.29"/>
    <col customWidth="1" min="4" max="4" width="18.0"/>
    <col customWidth="1" min="5" max="5" width="19.71"/>
    <col customWidth="1" min="6" max="11" width="10.0"/>
    <col customWidth="1" min="12" max="12" width="17.86"/>
    <col customWidth="1" min="13" max="13" width="19.57"/>
    <col customWidth="1" min="14" max="18" width="10.0"/>
    <col customWidth="1" min="19" max="19" width="19.14"/>
    <col customWidth="1" min="20" max="20" width="19.0"/>
    <col customWidth="1" min="21" max="25" width="10.0"/>
    <col customWidth="1" min="26" max="26" width="20.86"/>
    <col customWidth="1" min="27" max="27" width="20.0"/>
  </cols>
  <sheetData>
    <row r="1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"/>
      <c r="X2" s="1"/>
      <c r="Y2" s="1"/>
      <c r="Z2" s="1"/>
      <c r="AA2" s="1"/>
    </row>
    <row r="3">
      <c r="A3" s="7" t="s">
        <v>4</v>
      </c>
      <c r="B3" s="7" t="s">
        <v>5</v>
      </c>
      <c r="C3" s="7" t="s">
        <v>6</v>
      </c>
      <c r="D3" s="3" t="s">
        <v>30</v>
      </c>
      <c r="E3" s="3" t="s">
        <v>31</v>
      </c>
      <c r="F3" s="2"/>
      <c r="I3" s="7" t="s">
        <v>4</v>
      </c>
      <c r="J3" s="7" t="s">
        <v>5</v>
      </c>
      <c r="K3" s="7" t="s">
        <v>6</v>
      </c>
      <c r="L3" s="3" t="s">
        <v>30</v>
      </c>
      <c r="M3" s="3" t="s">
        <v>31</v>
      </c>
      <c r="P3" s="7" t="s">
        <v>4</v>
      </c>
      <c r="Q3" s="7" t="s">
        <v>5</v>
      </c>
      <c r="R3" s="7" t="s">
        <v>6</v>
      </c>
      <c r="S3" s="3" t="s">
        <v>30</v>
      </c>
      <c r="T3" s="3" t="s">
        <v>31</v>
      </c>
      <c r="W3" s="1"/>
      <c r="X3" s="1"/>
      <c r="Y3" s="1"/>
      <c r="Z3" s="1"/>
      <c r="AA3" s="1"/>
    </row>
    <row r="4">
      <c r="A4" s="9" t="s">
        <v>12</v>
      </c>
      <c r="B4" s="9" t="s">
        <v>13</v>
      </c>
      <c r="C4" s="7">
        <v>4.0</v>
      </c>
      <c r="D4" s="10">
        <v>2.59</v>
      </c>
      <c r="E4" s="10">
        <v>12.86</v>
      </c>
      <c r="F4" s="2"/>
      <c r="G4" s="19"/>
      <c r="H4" s="19"/>
      <c r="I4" s="9" t="s">
        <v>19</v>
      </c>
      <c r="J4" s="9" t="s">
        <v>13</v>
      </c>
      <c r="K4" s="7">
        <v>4.0</v>
      </c>
      <c r="L4" s="10">
        <v>4.04</v>
      </c>
      <c r="M4" s="10">
        <v>27.18</v>
      </c>
      <c r="N4" s="19"/>
      <c r="O4" s="19"/>
      <c r="P4" s="9" t="s">
        <v>22</v>
      </c>
      <c r="Q4" s="9" t="s">
        <v>13</v>
      </c>
      <c r="R4" s="7">
        <v>4.0</v>
      </c>
      <c r="S4" s="10">
        <v>4.84</v>
      </c>
      <c r="T4" s="10">
        <v>52.29</v>
      </c>
      <c r="U4" s="19"/>
      <c r="V4" s="19"/>
      <c r="W4" s="1"/>
      <c r="X4" s="1"/>
      <c r="Y4" s="1"/>
      <c r="Z4" s="1"/>
      <c r="AA4" s="1"/>
    </row>
    <row r="5">
      <c r="A5" s="13"/>
      <c r="B5" s="13"/>
      <c r="C5" s="7">
        <v>8.0</v>
      </c>
      <c r="D5" s="10">
        <v>3.32</v>
      </c>
      <c r="E5" s="10">
        <v>25.72</v>
      </c>
      <c r="F5" s="19"/>
      <c r="G5" s="19"/>
      <c r="H5" s="19"/>
      <c r="I5" s="13"/>
      <c r="J5" s="13"/>
      <c r="K5" s="7">
        <v>8.0</v>
      </c>
      <c r="L5" s="10">
        <v>5.29</v>
      </c>
      <c r="M5" s="10">
        <v>26.86</v>
      </c>
      <c r="N5" s="19"/>
      <c r="O5" s="19"/>
      <c r="P5" s="13"/>
      <c r="Q5" s="13"/>
      <c r="R5" s="7">
        <v>8.0</v>
      </c>
      <c r="S5" s="10">
        <v>5.99</v>
      </c>
      <c r="T5" s="10">
        <v>42.32</v>
      </c>
      <c r="U5" s="19"/>
      <c r="V5" s="19"/>
      <c r="W5" s="1"/>
      <c r="X5" s="1"/>
      <c r="Y5" s="1"/>
      <c r="Z5" s="1"/>
      <c r="AA5" s="1"/>
    </row>
    <row r="6">
      <c r="A6" s="13"/>
      <c r="B6" s="13"/>
      <c r="C6" s="7">
        <v>16.0</v>
      </c>
      <c r="D6" s="10">
        <v>3.74</v>
      </c>
      <c r="E6" s="10">
        <v>14.97</v>
      </c>
      <c r="F6" s="19"/>
      <c r="G6" s="19"/>
      <c r="H6" s="19"/>
      <c r="I6" s="13"/>
      <c r="J6" s="13"/>
      <c r="K6" s="7">
        <v>16.0</v>
      </c>
      <c r="L6" s="10">
        <v>6.08</v>
      </c>
      <c r="M6" s="10">
        <v>15.17</v>
      </c>
      <c r="N6" s="19"/>
      <c r="O6" s="19"/>
      <c r="P6" s="13"/>
      <c r="Q6" s="13"/>
      <c r="R6" s="7">
        <v>16.0</v>
      </c>
      <c r="S6" s="10">
        <v>7.44</v>
      </c>
      <c r="T6" s="10">
        <v>27.95</v>
      </c>
      <c r="U6" s="19"/>
      <c r="V6" s="19"/>
      <c r="W6" s="1"/>
      <c r="X6" s="1"/>
      <c r="Y6" s="1"/>
      <c r="Z6" s="1"/>
      <c r="AA6" s="1"/>
    </row>
    <row r="7">
      <c r="A7" s="13"/>
      <c r="B7" s="13"/>
      <c r="C7" s="7">
        <v>32.0</v>
      </c>
      <c r="D7" s="10">
        <v>3.98</v>
      </c>
      <c r="E7" s="10">
        <v>16.81</v>
      </c>
      <c r="F7" s="19"/>
      <c r="G7" s="19"/>
      <c r="H7" s="19"/>
      <c r="I7" s="13"/>
      <c r="J7" s="13"/>
      <c r="K7" s="7">
        <v>32.0</v>
      </c>
      <c r="L7" s="10">
        <v>6.5</v>
      </c>
      <c r="M7" s="10">
        <v>14.13</v>
      </c>
      <c r="N7" s="19"/>
      <c r="O7" s="19"/>
      <c r="P7" s="13"/>
      <c r="Q7" s="13"/>
      <c r="R7" s="7">
        <v>32.0</v>
      </c>
      <c r="S7" s="10">
        <v>8.16</v>
      </c>
      <c r="T7" s="10">
        <v>14.45</v>
      </c>
      <c r="U7" s="19"/>
      <c r="V7" s="19"/>
      <c r="W7" s="1"/>
      <c r="X7" s="1"/>
      <c r="Y7" s="1"/>
      <c r="Z7" s="1"/>
      <c r="AA7" s="1"/>
    </row>
    <row r="8">
      <c r="A8" s="13"/>
      <c r="B8" s="14"/>
      <c r="C8" s="7">
        <v>64.0</v>
      </c>
      <c r="D8" s="10">
        <v>4.15</v>
      </c>
      <c r="E8" s="10">
        <v>3.63</v>
      </c>
      <c r="F8" s="19"/>
      <c r="G8" s="19"/>
      <c r="H8" s="19"/>
      <c r="I8" s="13"/>
      <c r="J8" s="14"/>
      <c r="K8" s="7">
        <v>64.0</v>
      </c>
      <c r="L8" s="10">
        <v>7.03</v>
      </c>
      <c r="M8" s="10">
        <v>11.6</v>
      </c>
      <c r="N8" s="19"/>
      <c r="O8" s="19"/>
      <c r="P8" s="13"/>
      <c r="Q8" s="14"/>
      <c r="R8" s="7">
        <v>64.0</v>
      </c>
      <c r="S8" s="10">
        <v>8.52</v>
      </c>
      <c r="T8" s="10">
        <v>8.76</v>
      </c>
      <c r="U8" s="19"/>
      <c r="V8" s="19"/>
      <c r="W8" s="1"/>
      <c r="X8" s="1"/>
      <c r="Y8" s="1"/>
      <c r="Z8" s="1"/>
      <c r="AA8" s="1"/>
    </row>
    <row r="9">
      <c r="A9" s="13"/>
      <c r="B9" s="9" t="s">
        <v>14</v>
      </c>
      <c r="C9" s="7">
        <v>4.0</v>
      </c>
      <c r="D9" s="10">
        <v>1.07</v>
      </c>
      <c r="E9" s="10">
        <v>5.42</v>
      </c>
      <c r="F9" s="19"/>
      <c r="G9" s="19"/>
      <c r="H9" s="19"/>
      <c r="I9" s="13"/>
      <c r="J9" s="9" t="s">
        <v>14</v>
      </c>
      <c r="K9" s="7">
        <v>4.0</v>
      </c>
      <c r="L9" s="10">
        <v>1.6</v>
      </c>
      <c r="M9" s="10">
        <v>18.21</v>
      </c>
      <c r="N9" s="19"/>
      <c r="O9" s="19"/>
      <c r="P9" s="13"/>
      <c r="Q9" s="9" t="s">
        <v>14</v>
      </c>
      <c r="R9" s="7">
        <v>4.0</v>
      </c>
      <c r="S9" s="10">
        <v>1.68</v>
      </c>
      <c r="T9" s="10">
        <v>48.63</v>
      </c>
      <c r="U9" s="19"/>
      <c r="V9" s="19"/>
      <c r="W9" s="1"/>
      <c r="X9" s="1"/>
      <c r="Y9" s="1"/>
      <c r="Z9" s="1"/>
      <c r="AA9" s="1"/>
    </row>
    <row r="10">
      <c r="A10" s="13"/>
      <c r="B10" s="13"/>
      <c r="C10" s="7">
        <v>8.0</v>
      </c>
      <c r="D10" s="10">
        <v>1.07</v>
      </c>
      <c r="E10" s="10">
        <v>4.58</v>
      </c>
      <c r="F10" s="19"/>
      <c r="G10" s="19"/>
      <c r="H10" s="19"/>
      <c r="I10" s="13"/>
      <c r="J10" s="13"/>
      <c r="K10" s="7">
        <v>8.0</v>
      </c>
      <c r="L10" s="10">
        <v>1.6</v>
      </c>
      <c r="M10" s="10">
        <v>21.71</v>
      </c>
      <c r="N10" s="19"/>
      <c r="O10" s="19"/>
      <c r="P10" s="13"/>
      <c r="Q10" s="13"/>
      <c r="R10" s="7">
        <v>8.0</v>
      </c>
      <c r="S10" s="10">
        <v>1.68</v>
      </c>
      <c r="T10" s="10">
        <v>39.94</v>
      </c>
      <c r="U10" s="19"/>
      <c r="V10" s="19"/>
      <c r="W10" s="1"/>
      <c r="X10" s="1"/>
      <c r="Y10" s="1"/>
      <c r="Z10" s="1"/>
      <c r="AA10" s="1"/>
    </row>
    <row r="11">
      <c r="A11" s="13"/>
      <c r="B11" s="13"/>
      <c r="C11" s="7">
        <v>16.0</v>
      </c>
      <c r="D11" s="10">
        <v>1.07</v>
      </c>
      <c r="E11" s="10">
        <v>4.14</v>
      </c>
      <c r="F11" s="19"/>
      <c r="G11" s="19"/>
      <c r="H11" s="19"/>
      <c r="I11" s="13"/>
      <c r="J11" s="13"/>
      <c r="K11" s="7">
        <v>16.0</v>
      </c>
      <c r="L11" s="10">
        <v>1.6</v>
      </c>
      <c r="M11" s="10">
        <v>27.75</v>
      </c>
      <c r="N11" s="19"/>
      <c r="O11" s="19"/>
      <c r="P11" s="13"/>
      <c r="Q11" s="13"/>
      <c r="R11" s="7">
        <v>16.0</v>
      </c>
      <c r="S11" s="10">
        <v>1.68</v>
      </c>
      <c r="T11" s="10">
        <v>39.34</v>
      </c>
      <c r="U11" s="19"/>
      <c r="V11" s="19"/>
      <c r="W11" s="1"/>
      <c r="X11" s="1"/>
      <c r="Y11" s="1"/>
      <c r="Z11" s="1"/>
      <c r="AA11" s="1"/>
    </row>
    <row r="12">
      <c r="A12" s="13"/>
      <c r="B12" s="13"/>
      <c r="C12" s="7">
        <v>32.0</v>
      </c>
      <c r="D12" s="10">
        <v>1.07</v>
      </c>
      <c r="E12" s="10">
        <v>4.35</v>
      </c>
      <c r="F12" s="19"/>
      <c r="G12" s="19"/>
      <c r="H12" s="19"/>
      <c r="I12" s="13"/>
      <c r="J12" s="13"/>
      <c r="K12" s="7">
        <v>32.0</v>
      </c>
      <c r="L12" s="10">
        <v>1.6</v>
      </c>
      <c r="M12" s="10">
        <v>21.5</v>
      </c>
      <c r="N12" s="19"/>
      <c r="O12" s="19"/>
      <c r="P12" s="13"/>
      <c r="Q12" s="13"/>
      <c r="R12" s="7">
        <v>32.0</v>
      </c>
      <c r="S12" s="10">
        <v>1.67</v>
      </c>
      <c r="T12" s="10">
        <v>54.78</v>
      </c>
      <c r="U12" s="19"/>
      <c r="V12" s="19"/>
      <c r="W12" s="1"/>
      <c r="X12" s="1"/>
      <c r="Y12" s="1"/>
      <c r="Z12" s="1"/>
      <c r="AA12" s="1"/>
    </row>
    <row r="13">
      <c r="A13" s="13"/>
      <c r="B13" s="14"/>
      <c r="C13" s="7">
        <v>64.0</v>
      </c>
      <c r="D13" s="10">
        <v>1.09</v>
      </c>
      <c r="E13" s="10">
        <v>3.19</v>
      </c>
      <c r="F13" s="19"/>
      <c r="G13" s="19"/>
      <c r="H13" s="19"/>
      <c r="I13" s="13"/>
      <c r="J13" s="14"/>
      <c r="K13" s="7">
        <v>64.0</v>
      </c>
      <c r="L13" s="10">
        <v>1.61</v>
      </c>
      <c r="M13" s="10">
        <v>24.95</v>
      </c>
      <c r="N13" s="19"/>
      <c r="O13" s="19"/>
      <c r="P13" s="13"/>
      <c r="Q13" s="14"/>
      <c r="R13" s="7">
        <v>64.0</v>
      </c>
      <c r="S13" s="10">
        <v>1.68</v>
      </c>
      <c r="T13" s="10">
        <v>43.41</v>
      </c>
      <c r="U13" s="19"/>
      <c r="V13" s="19"/>
      <c r="W13" s="1"/>
      <c r="X13" s="1"/>
      <c r="Y13" s="1"/>
      <c r="Z13" s="1"/>
      <c r="AA13" s="1"/>
    </row>
    <row r="14">
      <c r="A14" s="13"/>
      <c r="B14" s="7" t="s">
        <v>16</v>
      </c>
      <c r="C14" s="7">
        <v>1.0</v>
      </c>
      <c r="D14" s="10">
        <v>1.09</v>
      </c>
      <c r="E14" s="10">
        <v>2.49</v>
      </c>
      <c r="F14" s="19"/>
      <c r="G14" s="19"/>
      <c r="H14" s="19"/>
      <c r="I14" s="13"/>
      <c r="J14" s="7" t="s">
        <v>16</v>
      </c>
      <c r="K14" s="7">
        <v>1.0</v>
      </c>
      <c r="L14" s="10">
        <v>1.66</v>
      </c>
      <c r="M14" s="10">
        <v>89.07</v>
      </c>
      <c r="N14" s="19"/>
      <c r="O14" s="19"/>
      <c r="P14" s="13"/>
      <c r="Q14" s="7" t="s">
        <v>16</v>
      </c>
      <c r="R14" s="7">
        <v>1.0</v>
      </c>
      <c r="S14" s="10">
        <v>1.76</v>
      </c>
      <c r="T14" s="10">
        <v>57.96</v>
      </c>
      <c r="U14" s="19"/>
      <c r="V14" s="19"/>
      <c r="W14" s="1"/>
      <c r="X14" s="1"/>
      <c r="Y14" s="1"/>
      <c r="Z14" s="1"/>
      <c r="AA14" s="1"/>
    </row>
    <row r="15">
      <c r="A15" s="13"/>
      <c r="B15" s="9" t="s">
        <v>17</v>
      </c>
      <c r="C15" s="7">
        <v>4.0</v>
      </c>
      <c r="D15" s="10">
        <v>1.07</v>
      </c>
      <c r="E15" s="10">
        <v>3.61</v>
      </c>
      <c r="F15" s="19"/>
      <c r="G15" s="19"/>
      <c r="H15" s="19"/>
      <c r="I15" s="13"/>
      <c r="J15" s="9" t="s">
        <v>17</v>
      </c>
      <c r="K15" s="7">
        <v>4.0</v>
      </c>
      <c r="L15" s="10">
        <v>1.6</v>
      </c>
      <c r="M15" s="10">
        <v>36.99</v>
      </c>
      <c r="N15" s="19"/>
      <c r="O15" s="19"/>
      <c r="P15" s="13"/>
      <c r="Q15" s="9" t="s">
        <v>17</v>
      </c>
      <c r="R15" s="7">
        <v>4.0</v>
      </c>
      <c r="S15" s="10">
        <v>1.67</v>
      </c>
      <c r="T15" s="10">
        <v>52.22</v>
      </c>
      <c r="U15" s="19"/>
      <c r="V15" s="19"/>
      <c r="W15" s="1"/>
      <c r="X15" s="1"/>
      <c r="Y15" s="1"/>
      <c r="Z15" s="1"/>
      <c r="AA15" s="1"/>
    </row>
    <row r="16">
      <c r="A16" s="13"/>
      <c r="B16" s="13"/>
      <c r="C16" s="7">
        <v>8.0</v>
      </c>
      <c r="D16" s="10">
        <v>1.13</v>
      </c>
      <c r="E16" s="10">
        <v>2.28</v>
      </c>
      <c r="F16" s="19"/>
      <c r="G16" s="19"/>
      <c r="H16" s="19"/>
      <c r="I16" s="13"/>
      <c r="J16" s="13"/>
      <c r="K16" s="7">
        <v>8.0</v>
      </c>
      <c r="L16" s="10">
        <v>1.6</v>
      </c>
      <c r="M16" s="10">
        <v>20.23</v>
      </c>
      <c r="N16" s="19"/>
      <c r="O16" s="19"/>
      <c r="P16" s="13"/>
      <c r="Q16" s="13"/>
      <c r="R16" s="7">
        <v>8.0</v>
      </c>
      <c r="S16" s="10">
        <v>1.67</v>
      </c>
      <c r="T16" s="10">
        <v>52.2</v>
      </c>
      <c r="U16" s="19"/>
      <c r="V16" s="19"/>
      <c r="W16" s="1"/>
      <c r="X16" s="1"/>
      <c r="Y16" s="1"/>
      <c r="Z16" s="1"/>
      <c r="AA16" s="1"/>
    </row>
    <row r="17">
      <c r="A17" s="13"/>
      <c r="B17" s="13"/>
      <c r="C17" s="7">
        <v>16.0</v>
      </c>
      <c r="D17" s="10">
        <v>1.07</v>
      </c>
      <c r="E17" s="10">
        <v>3.3</v>
      </c>
      <c r="F17" s="19"/>
      <c r="G17" s="19"/>
      <c r="H17" s="19"/>
      <c r="I17" s="13"/>
      <c r="J17" s="13"/>
      <c r="K17" s="7">
        <v>16.0</v>
      </c>
      <c r="L17" s="10">
        <v>1.59</v>
      </c>
      <c r="M17" s="10">
        <v>26.35</v>
      </c>
      <c r="N17" s="19"/>
      <c r="O17" s="19"/>
      <c r="P17" s="13"/>
      <c r="Q17" s="13"/>
      <c r="R17" s="7">
        <v>16.0</v>
      </c>
      <c r="S17" s="10">
        <v>1.68</v>
      </c>
      <c r="T17" s="10">
        <v>46.81</v>
      </c>
      <c r="U17" s="19"/>
      <c r="V17" s="19"/>
      <c r="W17" s="1"/>
      <c r="X17" s="1"/>
      <c r="Y17" s="1"/>
      <c r="Z17" s="1"/>
      <c r="AA17" s="1"/>
    </row>
    <row r="18">
      <c r="A18" s="13"/>
      <c r="B18" s="13"/>
      <c r="C18" s="7">
        <v>32.0</v>
      </c>
      <c r="D18" s="10">
        <v>1.07</v>
      </c>
      <c r="E18" s="10">
        <v>2.34</v>
      </c>
      <c r="F18" s="19"/>
      <c r="G18" s="19"/>
      <c r="H18" s="19"/>
      <c r="I18" s="13"/>
      <c r="J18" s="13"/>
      <c r="K18" s="7">
        <v>32.0</v>
      </c>
      <c r="L18" s="10">
        <v>1.59</v>
      </c>
      <c r="M18" s="10">
        <v>14.57</v>
      </c>
      <c r="N18" s="19"/>
      <c r="O18" s="19"/>
      <c r="P18" s="13"/>
      <c r="Q18" s="13"/>
      <c r="R18" s="7">
        <v>32.0</v>
      </c>
      <c r="S18" s="10">
        <v>1.67</v>
      </c>
      <c r="T18" s="10">
        <v>47.05</v>
      </c>
      <c r="U18" s="19"/>
      <c r="V18" s="19"/>
      <c r="W18" s="1"/>
      <c r="X18" s="1"/>
      <c r="Y18" s="1"/>
      <c r="Z18" s="1"/>
      <c r="AA18" s="1"/>
    </row>
    <row r="19">
      <c r="A19" s="14"/>
      <c r="B19" s="14"/>
      <c r="C19" s="7">
        <v>64.0</v>
      </c>
      <c r="D19" s="10">
        <v>1.07</v>
      </c>
      <c r="E19" s="10">
        <v>2.23</v>
      </c>
      <c r="F19" s="19"/>
      <c r="G19" s="19"/>
      <c r="H19" s="19"/>
      <c r="I19" s="14"/>
      <c r="J19" s="14"/>
      <c r="K19" s="7">
        <v>64.0</v>
      </c>
      <c r="L19" s="10">
        <v>1.59</v>
      </c>
      <c r="M19" s="10">
        <v>18.39</v>
      </c>
      <c r="N19" s="19"/>
      <c r="O19" s="19"/>
      <c r="P19" s="14"/>
      <c r="Q19" s="14"/>
      <c r="R19" s="7">
        <v>64.0</v>
      </c>
      <c r="S19" s="10">
        <v>1.67</v>
      </c>
      <c r="T19" s="10">
        <v>41.87</v>
      </c>
      <c r="U19" s="19"/>
      <c r="V19" s="19"/>
      <c r="W19" s="1"/>
      <c r="X19" s="1"/>
      <c r="Y19" s="1"/>
      <c r="Z19" s="1"/>
      <c r="AA19" s="1"/>
    </row>
    <row r="20">
      <c r="A20" s="2"/>
      <c r="B20" s="2"/>
      <c r="C20" s="3" t="s">
        <v>32</v>
      </c>
      <c r="D20" s="20">
        <f t="shared" ref="D20:E20" si="1">AVERAGE(D4:D19)</f>
        <v>1.853125</v>
      </c>
      <c r="E20" s="20">
        <f t="shared" si="1"/>
        <v>6.995</v>
      </c>
      <c r="F20" s="19"/>
      <c r="G20" s="19"/>
      <c r="H20" s="19"/>
      <c r="I20" s="19"/>
      <c r="J20" s="19"/>
      <c r="K20" s="3" t="s">
        <v>32</v>
      </c>
      <c r="L20" s="20">
        <f t="shared" ref="L20:M20" si="2">AVERAGE(L4:L19)</f>
        <v>2.91125</v>
      </c>
      <c r="M20" s="20">
        <f t="shared" si="2"/>
        <v>25.91625</v>
      </c>
      <c r="N20" s="19"/>
      <c r="O20" s="19"/>
      <c r="P20" s="19"/>
      <c r="Q20" s="19"/>
      <c r="R20" s="3" t="s">
        <v>32</v>
      </c>
      <c r="S20" s="20">
        <f t="shared" ref="S20:T20" si="3">AVERAGE(S4:S19)</f>
        <v>3.34125</v>
      </c>
      <c r="T20" s="20">
        <f t="shared" si="3"/>
        <v>41.87375</v>
      </c>
      <c r="U20" s="19"/>
      <c r="V20" s="19"/>
      <c r="W20" s="19"/>
      <c r="X20" s="19"/>
      <c r="Y20" s="19"/>
      <c r="Z20" s="19"/>
      <c r="AA20" s="19"/>
    </row>
    <row r="21">
      <c r="A21" s="2"/>
      <c r="B21" s="2"/>
      <c r="C21" s="2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>
      <c r="A22" s="2"/>
      <c r="B22" s="2"/>
      <c r="C22" s="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2"/>
      <c r="B23" s="2"/>
      <c r="C23" s="2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>
      <c r="A24" s="7" t="s">
        <v>4</v>
      </c>
      <c r="B24" s="7" t="s">
        <v>5</v>
      </c>
      <c r="C24" s="7" t="s">
        <v>6</v>
      </c>
      <c r="D24" s="3" t="s">
        <v>30</v>
      </c>
      <c r="E24" s="3" t="s">
        <v>31</v>
      </c>
      <c r="F24" s="19"/>
      <c r="G24" s="19"/>
      <c r="H24" s="19"/>
      <c r="I24" s="7" t="s">
        <v>4</v>
      </c>
      <c r="J24" s="7" t="s">
        <v>5</v>
      </c>
      <c r="K24" s="7" t="s">
        <v>6</v>
      </c>
      <c r="L24" s="3" t="s">
        <v>30</v>
      </c>
      <c r="M24" s="3" t="s">
        <v>31</v>
      </c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9" t="s">
        <v>25</v>
      </c>
      <c r="B25" s="9" t="s">
        <v>13</v>
      </c>
      <c r="C25" s="7">
        <v>4.0</v>
      </c>
      <c r="D25" s="10">
        <v>1.45</v>
      </c>
      <c r="E25" s="10">
        <v>53.63</v>
      </c>
      <c r="F25" s="19"/>
      <c r="G25" s="19"/>
      <c r="H25" s="19"/>
      <c r="I25" s="17" t="s">
        <v>28</v>
      </c>
      <c r="J25" s="9" t="s">
        <v>13</v>
      </c>
      <c r="K25" s="7">
        <v>4.0</v>
      </c>
      <c r="L25" s="10">
        <v>4.51</v>
      </c>
      <c r="M25" s="10">
        <v>53.21</v>
      </c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</row>
    <row r="26">
      <c r="A26" s="13"/>
      <c r="B26" s="13"/>
      <c r="C26" s="7">
        <v>8.0</v>
      </c>
      <c r="D26" s="10">
        <v>2.38</v>
      </c>
      <c r="E26" s="10">
        <v>41.98</v>
      </c>
      <c r="F26" s="19"/>
      <c r="G26" s="19"/>
      <c r="H26" s="19"/>
      <c r="I26" s="13"/>
      <c r="J26" s="13"/>
      <c r="K26" s="7">
        <v>8.0</v>
      </c>
      <c r="L26" s="10">
        <v>6.11</v>
      </c>
      <c r="M26" s="10">
        <v>44.22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</row>
    <row r="27">
      <c r="A27" s="13"/>
      <c r="B27" s="13"/>
      <c r="C27" s="7">
        <v>16.0</v>
      </c>
      <c r="D27" s="10">
        <v>1.6</v>
      </c>
      <c r="E27" s="10">
        <v>13.26</v>
      </c>
      <c r="F27" s="19"/>
      <c r="G27" s="19"/>
      <c r="H27" s="19"/>
      <c r="I27" s="13"/>
      <c r="J27" s="13"/>
      <c r="K27" s="7">
        <v>16.0</v>
      </c>
      <c r="L27" s="10">
        <v>6.8</v>
      </c>
      <c r="M27" s="10">
        <v>17.16</v>
      </c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</row>
    <row r="28">
      <c r="A28" s="13"/>
      <c r="B28" s="13"/>
      <c r="C28" s="7">
        <v>32.0</v>
      </c>
      <c r="D28" s="10">
        <v>3.23</v>
      </c>
      <c r="E28" s="10">
        <v>34.99</v>
      </c>
      <c r="F28" s="19"/>
      <c r="G28" s="19"/>
      <c r="H28" s="19"/>
      <c r="I28" s="13"/>
      <c r="J28" s="13"/>
      <c r="K28" s="7">
        <v>32.0</v>
      </c>
      <c r="L28" s="10">
        <v>7.64</v>
      </c>
      <c r="M28" s="10">
        <v>11.59</v>
      </c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</row>
    <row r="29">
      <c r="A29" s="13"/>
      <c r="B29" s="14"/>
      <c r="C29" s="7">
        <v>64.0</v>
      </c>
      <c r="D29" s="10">
        <v>3.37</v>
      </c>
      <c r="E29" s="10">
        <v>20.2</v>
      </c>
      <c r="F29" s="19"/>
      <c r="G29" s="19"/>
      <c r="H29" s="19"/>
      <c r="I29" s="13"/>
      <c r="J29" s="14"/>
      <c r="K29" s="7">
        <v>64.0</v>
      </c>
      <c r="L29" s="10">
        <v>9.2</v>
      </c>
      <c r="M29" s="10">
        <v>8.49</v>
      </c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</row>
    <row r="30">
      <c r="A30" s="13"/>
      <c r="B30" s="9" t="s">
        <v>14</v>
      </c>
      <c r="C30" s="7">
        <v>4.0</v>
      </c>
      <c r="D30" s="10">
        <v>0.97</v>
      </c>
      <c r="E30" s="10">
        <v>40.41</v>
      </c>
      <c r="F30" s="19"/>
      <c r="G30" s="19"/>
      <c r="H30" s="19"/>
      <c r="I30" s="13"/>
      <c r="J30" s="9" t="s">
        <v>14</v>
      </c>
      <c r="K30" s="7">
        <v>4.0</v>
      </c>
      <c r="L30" s="10">
        <v>1.14</v>
      </c>
      <c r="M30" s="10">
        <v>26.67</v>
      </c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</row>
    <row r="31">
      <c r="A31" s="13"/>
      <c r="B31" s="13"/>
      <c r="C31" s="7">
        <v>8.0</v>
      </c>
      <c r="D31" s="10">
        <v>0.97</v>
      </c>
      <c r="E31" s="10">
        <v>29.27</v>
      </c>
      <c r="F31" s="19"/>
      <c r="G31" s="19"/>
      <c r="H31" s="19"/>
      <c r="I31" s="13"/>
      <c r="J31" s="13"/>
      <c r="K31" s="7">
        <v>8.0</v>
      </c>
      <c r="L31" s="10">
        <v>1.14</v>
      </c>
      <c r="M31" s="10">
        <v>22.43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</row>
    <row r="32">
      <c r="A32" s="13"/>
      <c r="B32" s="13"/>
      <c r="C32" s="7">
        <v>16.0</v>
      </c>
      <c r="D32" s="10">
        <v>0.96</v>
      </c>
      <c r="E32" s="10">
        <v>29.83</v>
      </c>
      <c r="F32" s="19"/>
      <c r="G32" s="19"/>
      <c r="H32" s="19"/>
      <c r="I32" s="13"/>
      <c r="J32" s="13"/>
      <c r="K32" s="7">
        <v>16.0</v>
      </c>
      <c r="L32" s="10">
        <v>1.14</v>
      </c>
      <c r="M32" s="10">
        <v>13.8</v>
      </c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</row>
    <row r="33">
      <c r="A33" s="13"/>
      <c r="B33" s="13"/>
      <c r="C33" s="7">
        <v>32.0</v>
      </c>
      <c r="D33" s="10">
        <v>0.97</v>
      </c>
      <c r="E33" s="10">
        <v>26.68</v>
      </c>
      <c r="F33" s="19"/>
      <c r="G33" s="19"/>
      <c r="H33" s="19"/>
      <c r="I33" s="13"/>
      <c r="J33" s="13"/>
      <c r="K33" s="7">
        <v>32.0</v>
      </c>
      <c r="L33" s="10">
        <v>1.14</v>
      </c>
      <c r="M33" s="10">
        <v>16.17</v>
      </c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</row>
    <row r="34">
      <c r="A34" s="13"/>
      <c r="B34" s="14"/>
      <c r="C34" s="7">
        <v>64.0</v>
      </c>
      <c r="D34" s="10">
        <v>0.98</v>
      </c>
      <c r="E34" s="10">
        <v>27.91</v>
      </c>
      <c r="F34" s="19"/>
      <c r="G34" s="19"/>
      <c r="H34" s="19"/>
      <c r="I34" s="13"/>
      <c r="J34" s="14"/>
      <c r="K34" s="7">
        <v>64.0</v>
      </c>
      <c r="L34" s="10">
        <v>1.16</v>
      </c>
      <c r="M34" s="10">
        <v>12.31</v>
      </c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</row>
    <row r="35">
      <c r="A35" s="13"/>
      <c r="B35" s="7" t="s">
        <v>16</v>
      </c>
      <c r="C35" s="7">
        <v>1.0</v>
      </c>
      <c r="D35" s="10">
        <v>1.01</v>
      </c>
      <c r="E35" s="10">
        <v>80.06</v>
      </c>
      <c r="F35" s="19"/>
      <c r="G35" s="19"/>
      <c r="H35" s="19"/>
      <c r="I35" s="13"/>
      <c r="J35" s="7" t="s">
        <v>16</v>
      </c>
      <c r="K35" s="7">
        <v>1.0</v>
      </c>
      <c r="L35" s="10">
        <v>1.17</v>
      </c>
      <c r="M35" s="10">
        <v>85.43</v>
      </c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>
      <c r="A36" s="13"/>
      <c r="B36" s="9" t="s">
        <v>17</v>
      </c>
      <c r="C36" s="7">
        <v>4.0</v>
      </c>
      <c r="D36" s="10">
        <v>0.96</v>
      </c>
      <c r="E36" s="10">
        <v>44.41</v>
      </c>
      <c r="F36" s="19"/>
      <c r="G36" s="19"/>
      <c r="H36" s="19"/>
      <c r="I36" s="13"/>
      <c r="J36" s="9" t="s">
        <v>17</v>
      </c>
      <c r="K36" s="7">
        <v>4.0</v>
      </c>
      <c r="L36" s="10">
        <v>1.13</v>
      </c>
      <c r="M36" s="10">
        <v>61.0</v>
      </c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</row>
    <row r="37">
      <c r="A37" s="13"/>
      <c r="B37" s="13"/>
      <c r="C37" s="7">
        <v>8.0</v>
      </c>
      <c r="D37" s="10">
        <v>0.95</v>
      </c>
      <c r="E37" s="10">
        <v>29.88</v>
      </c>
      <c r="F37" s="19"/>
      <c r="G37" s="19"/>
      <c r="H37" s="19"/>
      <c r="I37" s="13"/>
      <c r="J37" s="13"/>
      <c r="K37" s="7">
        <v>8.0</v>
      </c>
      <c r="L37" s="10">
        <v>1.14</v>
      </c>
      <c r="M37" s="10">
        <v>61.15</v>
      </c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</row>
    <row r="38">
      <c r="A38" s="13"/>
      <c r="B38" s="13"/>
      <c r="C38" s="7">
        <v>16.0</v>
      </c>
      <c r="D38" s="10">
        <v>0.96</v>
      </c>
      <c r="E38" s="10">
        <v>28.59</v>
      </c>
      <c r="F38" s="19"/>
      <c r="G38" s="19"/>
      <c r="H38" s="19"/>
      <c r="I38" s="13"/>
      <c r="J38" s="13"/>
      <c r="K38" s="7">
        <v>16.0</v>
      </c>
      <c r="L38" s="10">
        <v>1.12</v>
      </c>
      <c r="M38" s="10">
        <v>64.24</v>
      </c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</row>
    <row r="39">
      <c r="A39" s="13"/>
      <c r="B39" s="13"/>
      <c r="C39" s="7">
        <v>32.0</v>
      </c>
      <c r="D39" s="10">
        <v>0.95</v>
      </c>
      <c r="E39" s="10">
        <v>37.76</v>
      </c>
      <c r="F39" s="19"/>
      <c r="G39" s="19"/>
      <c r="H39" s="19"/>
      <c r="I39" s="13"/>
      <c r="J39" s="13"/>
      <c r="K39" s="7">
        <v>32.0</v>
      </c>
      <c r="L39" s="10">
        <v>1.12</v>
      </c>
      <c r="M39" s="10">
        <v>21.14</v>
      </c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</row>
    <row r="40">
      <c r="A40" s="14"/>
      <c r="B40" s="14"/>
      <c r="C40" s="7">
        <v>64.0</v>
      </c>
      <c r="D40" s="10">
        <v>0.96</v>
      </c>
      <c r="E40" s="10">
        <v>27.21</v>
      </c>
      <c r="F40" s="19"/>
      <c r="G40" s="19"/>
      <c r="H40" s="19"/>
      <c r="I40" s="14"/>
      <c r="J40" s="14"/>
      <c r="K40" s="7">
        <v>64.0</v>
      </c>
      <c r="L40" s="10">
        <v>1.1</v>
      </c>
      <c r="M40" s="10">
        <v>59.94</v>
      </c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</row>
    <row r="41">
      <c r="A41" s="2"/>
      <c r="B41" s="2"/>
      <c r="C41" s="3" t="s">
        <v>32</v>
      </c>
      <c r="D41" s="20">
        <f t="shared" ref="D41:E41" si="4">AVERAGE(D25:D40)</f>
        <v>1.416875</v>
      </c>
      <c r="E41" s="20">
        <f t="shared" si="4"/>
        <v>35.379375</v>
      </c>
      <c r="F41" s="19"/>
      <c r="G41" s="19"/>
      <c r="H41" s="19"/>
      <c r="I41" s="19"/>
      <c r="J41" s="19"/>
      <c r="K41" s="3" t="s">
        <v>32</v>
      </c>
      <c r="L41" s="20">
        <f t="shared" ref="L41:M41" si="5">AVERAGE(L25:L40)</f>
        <v>2.9225</v>
      </c>
      <c r="M41" s="20">
        <f t="shared" si="5"/>
        <v>36.184375</v>
      </c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</row>
    <row r="42">
      <c r="A42" s="2"/>
      <c r="B42" s="2"/>
      <c r="C42" s="2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</row>
    <row r="43">
      <c r="A43" s="2"/>
      <c r="B43" s="2"/>
      <c r="C43" s="2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</row>
    <row r="44">
      <c r="A44" s="2"/>
      <c r="B44" s="2"/>
      <c r="C44" s="2"/>
      <c r="D44" s="2"/>
      <c r="E44" s="2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</row>
    <row r="45">
      <c r="A45" s="2"/>
      <c r="B45" s="2"/>
      <c r="C45" s="2"/>
      <c r="D45" s="2"/>
      <c r="E45" s="2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</row>
    <row r="46">
      <c r="A46" s="2"/>
      <c r="B46" s="2"/>
      <c r="C46" s="2"/>
      <c r="D46" s="2"/>
      <c r="E46" s="2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</row>
    <row r="47">
      <c r="A47" s="2"/>
      <c r="B47" s="2"/>
      <c r="C47" s="2"/>
      <c r="D47" s="2"/>
      <c r="E47" s="2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</row>
    <row r="48">
      <c r="A48" s="2"/>
      <c r="B48" s="2"/>
      <c r="C48" s="2"/>
      <c r="D48" s="2"/>
      <c r="E48" s="2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</row>
    <row r="49">
      <c r="A49" s="2"/>
      <c r="B49" s="2"/>
      <c r="C49" s="2"/>
      <c r="D49" s="2"/>
      <c r="E49" s="2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</row>
    <row r="50">
      <c r="A50" s="2"/>
      <c r="B50" s="2"/>
      <c r="C50" s="2"/>
      <c r="D50" s="2"/>
      <c r="E50" s="2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</row>
    <row r="51">
      <c r="A51" s="2"/>
      <c r="B51" s="2"/>
      <c r="C51" s="2"/>
      <c r="D51" s="2"/>
      <c r="E51" s="2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</row>
    <row r="52">
      <c r="A52" s="2"/>
      <c r="B52" s="2"/>
      <c r="C52" s="2"/>
      <c r="D52" s="2"/>
      <c r="E52" s="2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</row>
    <row r="53">
      <c r="A53" s="2"/>
      <c r="B53" s="2"/>
      <c r="C53" s="2"/>
      <c r="D53" s="2"/>
      <c r="E53" s="2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</row>
    <row r="54">
      <c r="A54" s="2"/>
      <c r="B54" s="2"/>
      <c r="C54" s="2"/>
      <c r="D54" s="2"/>
      <c r="E54" s="2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</row>
    <row r="55">
      <c r="A55" s="2"/>
      <c r="B55" s="2"/>
      <c r="C55" s="2"/>
      <c r="D55" s="2"/>
      <c r="E55" s="2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</row>
    <row r="56">
      <c r="A56" s="2"/>
      <c r="B56" s="2"/>
      <c r="C56" s="2"/>
      <c r="D56" s="2"/>
      <c r="E56" s="2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</row>
    <row r="57">
      <c r="A57" s="2"/>
      <c r="B57" s="2"/>
      <c r="C57" s="2"/>
      <c r="D57" s="2"/>
      <c r="E57" s="2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</row>
    <row r="58">
      <c r="A58" s="2"/>
      <c r="B58" s="2"/>
      <c r="C58" s="2"/>
      <c r="D58" s="2"/>
      <c r="E58" s="2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</row>
    <row r="59">
      <c r="A59" s="2"/>
      <c r="B59" s="2"/>
      <c r="C59" s="2"/>
      <c r="D59" s="2"/>
      <c r="E59" s="2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</row>
    <row r="60">
      <c r="A60" s="2"/>
      <c r="B60" s="2"/>
      <c r="C60" s="2"/>
      <c r="D60" s="2"/>
      <c r="E60" s="2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</row>
  </sheetData>
  <mergeCells count="20">
    <mergeCell ref="Q4:Q8"/>
    <mergeCell ref="Q9:Q13"/>
    <mergeCell ref="Q15:Q19"/>
    <mergeCell ref="A4:A19"/>
    <mergeCell ref="B4:B8"/>
    <mergeCell ref="I4:I19"/>
    <mergeCell ref="J4:J8"/>
    <mergeCell ref="P4:P19"/>
    <mergeCell ref="B9:B13"/>
    <mergeCell ref="B15:B19"/>
    <mergeCell ref="B30:B34"/>
    <mergeCell ref="B36:B40"/>
    <mergeCell ref="J9:J13"/>
    <mergeCell ref="J15:J19"/>
    <mergeCell ref="A25:A40"/>
    <mergeCell ref="B25:B29"/>
    <mergeCell ref="I25:I40"/>
    <mergeCell ref="J25:J29"/>
    <mergeCell ref="J30:J34"/>
    <mergeCell ref="J36:J4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2025-11-12T15:46:33Z</dcterms:created>
  <dc:creator>openpyxl</dc:creator>
</cp:coreProperties>
</file>